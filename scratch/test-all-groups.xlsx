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7" name="Master" state="visible" r:id="rId4"/>
    <sheet sheetId="1" name="1" state="visible" r:id="rId5"/>
    <sheet sheetId="2" name="2" state="visible" r:id="rId6"/>
    <sheet sheetId="3" name="3" state="visible" r:id="rId7"/>
    <sheet sheetId="4" name="4" state="visible" r:id="rId8"/>
    <sheet sheetId="5" name="5" state="visible" r:id="rId9"/>
    <sheet sheetId="6" name="6" state="visible" r:id="rId10"/>
    <sheet sheetId="7" name="7" state="visible" r:id="rId11"/>
    <sheet sheetId="8" name="8" state="visible" r:id="rId12"/>
    <sheet sheetId="9" name="9" state="visible" r:id="rId13"/>
    <sheet sheetId="10" name="10" state="visible" r:id="rId14"/>
    <sheet sheetId="11" name="11" state="visible" r:id="rId15"/>
    <sheet sheetId="12" name="12" state="visible" r:id="rId16"/>
    <sheet sheetId="13" name="13" state="visible" r:id="rId17"/>
    <sheet sheetId="14" name="14" state="visible" r:id="rId18"/>
    <sheet sheetId="15" name="15" state="visible" r:id="rId19"/>
    <sheet sheetId="16" name="New" state="visible" r:id="rId20"/>
  </sheets>
  <calcPr calcId="171027"/>
</workbook>
</file>

<file path=xl/sharedStrings.xml><?xml version="1.0" encoding="utf-8"?>
<sst xmlns="http://schemas.openxmlformats.org/spreadsheetml/2006/main" count="2155" uniqueCount="819">
  <si>
    <t>SARVEXAN 2026 -27</t>
  </si>
  <si>
    <t>SR. NO.</t>
  </si>
  <si>
    <t>ID</t>
  </si>
  <si>
    <t>NAME</t>
  </si>
  <si>
    <t>TOTAL</t>
  </si>
  <si>
    <t>3-Apr</t>
  </si>
  <si>
    <t>10-Apr</t>
  </si>
  <si>
    <t>17-Apr</t>
  </si>
  <si>
    <t>SK 1</t>
  </si>
  <si>
    <t>PATEL KETAN CHANDUBHAI</t>
  </si>
  <si>
    <t>SK 2</t>
  </si>
  <si>
    <t>PATEL ARTH KALPESHKUMAR</t>
  </si>
  <si>
    <t>SK 3</t>
  </si>
  <si>
    <t>PATEL DHRUV ANILBHAI</t>
  </si>
  <si>
    <t>SK 4</t>
  </si>
  <si>
    <t>PATEL DARSHAN VINODBHAI</t>
  </si>
  <si>
    <t>SK 5</t>
  </si>
  <si>
    <t>PATEL DIVYA PRAGANESHBHAI</t>
  </si>
  <si>
    <t>SK 6</t>
  </si>
  <si>
    <t>PATEL DHRUVKUMAR UMESHBHAI</t>
  </si>
  <si>
    <t>SK 7</t>
  </si>
  <si>
    <t>PATOLIYA ANKUR CHANDULAL</t>
  </si>
  <si>
    <t>SK 8</t>
  </si>
  <si>
    <t>RATHVA HARDIK RAYSINGBHAI</t>
  </si>
  <si>
    <t>SK 9</t>
  </si>
  <si>
    <t>RAJ RAVI JAYESHBHAI</t>
  </si>
  <si>
    <t>SK 10</t>
  </si>
  <si>
    <t>PATEL HENIL SHAILESHBHAI</t>
  </si>
  <si>
    <t>SK 11</t>
  </si>
  <si>
    <t>PARMAR SHASHANK</t>
  </si>
  <si>
    <t>SK 12</t>
  </si>
  <si>
    <t>PATEL YASH KETANBHAI</t>
  </si>
  <si>
    <t>SK 13</t>
  </si>
  <si>
    <t>PARMAR SHUBHAM BHANUPRASAD</t>
  </si>
  <si>
    <t>SK 14</t>
  </si>
  <si>
    <t>PATEL BHUPENDRABHAI NANUBHAI</t>
  </si>
  <si>
    <t>UK 1</t>
  </si>
  <si>
    <t>Bhabhor kashyap Sureshbhai</t>
  </si>
  <si>
    <t>NEW</t>
  </si>
  <si>
    <t>New yuvaks (not yet assigned to a group)</t>
  </si>
  <si>
    <t>YUVAK SAMPARK LIST 2026-27</t>
  </si>
  <si>
    <t>SK ID 01: PATEL KETAN CHANDUBHAI</t>
  </si>
  <si>
    <t>SR.NO</t>
  </si>
  <si>
    <t>Form ID</t>
  </si>
  <si>
    <t>YUVAK NAME</t>
  </si>
  <si>
    <t>BIRTH DATE</t>
  </si>
  <si>
    <t>ADDRESS</t>
  </si>
  <si>
    <t>MOBILE</t>
  </si>
  <si>
    <t>WHATSAPP</t>
  </si>
  <si>
    <t>HOME PHONE</t>
  </si>
  <si>
    <t>EDUCATION DETAIL</t>
  </si>
  <si>
    <t>TOTAL PRESENT</t>
  </si>
  <si>
    <t>1665</t>
  </si>
  <si>
    <t>23-04-2001</t>
  </si>
  <si>
    <t>A-2,MANINAGAR SOCIETY,NEAR BAKULPARK</t>
  </si>
  <si>
    <t>9408150896</t>
  </si>
  <si>
    <t>6352367647</t>
  </si>
  <si>
    <t>JOB</t>
  </si>
  <si>
    <t/>
  </si>
  <si>
    <t>211</t>
  </si>
  <si>
    <t>AMIN YAGNESH RASHMIKANT</t>
  </si>
  <si>
    <t>22-10-1990</t>
  </si>
  <si>
    <t>44, SNEH SMRUTI SOCIETY SUBHANPURA</t>
  </si>
  <si>
    <t>8000261959</t>
  </si>
  <si>
    <t>9998054730</t>
  </si>
  <si>
    <t>2734</t>
  </si>
  <si>
    <t>20-09-2007</t>
  </si>
  <si>
    <t>A/3,BECHARBHAI PARK SOCIETY,GORWA</t>
  </si>
  <si>
    <t>9998281148</t>
  </si>
  <si>
    <t>8780467977</t>
  </si>
  <si>
    <t>11th</t>
  </si>
  <si>
    <t>205</t>
  </si>
  <si>
    <t>30-03-1995</t>
  </si>
  <si>
    <t>E-32,NARMADA NAGARI-1 NEAR ITI GORWA</t>
  </si>
  <si>
    <t>9974486188</t>
  </si>
  <si>
    <t>9426370418</t>
  </si>
  <si>
    <t>1745</t>
  </si>
  <si>
    <t>PATEL DIVYA PRAGNESHBHAI</t>
  </si>
  <si>
    <t>22-03-2004</t>
  </si>
  <si>
    <t>B - 19, DAHIBA NAGAR SOCIETY, NR.SAHYOG HOSPITAL</t>
  </si>
  <si>
    <t>9898478432</t>
  </si>
  <si>
    <t>9714628293</t>
  </si>
  <si>
    <t>B.E(Computer) 8th Sem</t>
  </si>
  <si>
    <t>194</t>
  </si>
  <si>
    <t>11-06-1998</t>
  </si>
  <si>
    <t>45,PRAGATINAGAR SOCIETY, GORWA</t>
  </si>
  <si>
    <t>7990734147</t>
  </si>
  <si>
    <t>9737560410</t>
  </si>
  <si>
    <t>1671</t>
  </si>
  <si>
    <t>GOHIL PRATHAM ARVINDBHAI</t>
  </si>
  <si>
    <t>22-09-2003</t>
  </si>
  <si>
    <t>VIJAY NAGAR LAXMIPURA ROAD</t>
  </si>
  <si>
    <t>7359057630</t>
  </si>
  <si>
    <t>9909593677</t>
  </si>
  <si>
    <t>SK ID 02: PATEL ARTH KALPESHKUMAR</t>
  </si>
  <si>
    <t>1674</t>
  </si>
  <si>
    <t>PATEL HET YOGESHBHAI</t>
  </si>
  <si>
    <t>30-10-2002</t>
  </si>
  <si>
    <t>14 JAY AMBE SOCIETY, GORWA</t>
  </si>
  <si>
    <t>9662097607</t>
  </si>
  <si>
    <t>9998629620</t>
  </si>
  <si>
    <t>B.Com (5th sem)</t>
  </si>
  <si>
    <t>1743</t>
  </si>
  <si>
    <t>GOHIL DIVYARAJSINH JANAKSINH</t>
  </si>
  <si>
    <t>09-07-2004</t>
  </si>
  <si>
    <t>128/ SHANTI NAGAR, GORWA</t>
  </si>
  <si>
    <t>6351776405</t>
  </si>
  <si>
    <t>9974459033</t>
  </si>
  <si>
    <t>B.E 1st sem</t>
  </si>
  <si>
    <t>2720</t>
  </si>
  <si>
    <t>PARMAR KUNJALSINH NARVEERSINH</t>
  </si>
  <si>
    <t>30-07-2008</t>
  </si>
  <si>
    <t>170,ANMOLNAGAR,G.H.B.</t>
  </si>
  <si>
    <t>8780468590</t>
  </si>
  <si>
    <t>9898386673</t>
  </si>
  <si>
    <t>12th</t>
  </si>
  <si>
    <t>PANCHAL JIMIL HITESHBHAI</t>
  </si>
  <si>
    <t>04-09-2006</t>
  </si>
  <si>
    <t>D-404,SANSKRUTI RESIDENCY,OPP.HARIDHAM MANDIR</t>
  </si>
  <si>
    <t>7041865216</t>
  </si>
  <si>
    <t>DIP(MECH.) 3rd YEAR</t>
  </si>
  <si>
    <t>SINDHA VANSHRAJ</t>
  </si>
  <si>
    <t>9904221857</t>
  </si>
  <si>
    <t>9624894510</t>
  </si>
  <si>
    <t>SOLANKI RAJNEEL VIRENDRASINH</t>
  </si>
  <si>
    <t>04-06-2009</t>
  </si>
  <si>
    <t>C-114,RADHAKRISHNA SOCIETY,SAHYOG</t>
  </si>
  <si>
    <t>9712225467</t>
  </si>
  <si>
    <t>DIP 1ST YEAR</t>
  </si>
  <si>
    <t>LASHKARI MEET HITESHBHAI</t>
  </si>
  <si>
    <t>06-02-2006</t>
  </si>
  <si>
    <t>309,JIVABHAI PARK FLAT</t>
  </si>
  <si>
    <t>9265929382</t>
  </si>
  <si>
    <t>8487011955</t>
  </si>
  <si>
    <t>B.E(Mech) 2nd year</t>
  </si>
  <si>
    <t>JOSHI RUSHI AMITBHAI</t>
  </si>
  <si>
    <t>06-11-2008</t>
  </si>
  <si>
    <t>C-5 SAHYOG VATIKA,BESIDE BAKUL PARK,SAHYOG</t>
  </si>
  <si>
    <t>7016611725</t>
  </si>
  <si>
    <t>9998004523</t>
  </si>
  <si>
    <t>Panchal Akshar Kalpeshbhai</t>
  </si>
  <si>
    <t>27-9-2010</t>
  </si>
  <si>
    <t>B-17 Shantinagar Society</t>
  </si>
  <si>
    <t>9998970107</t>
  </si>
  <si>
    <t>8160413835</t>
  </si>
  <si>
    <t>10th</t>
  </si>
  <si>
    <t>Patel Henil Bhartbhai</t>
  </si>
  <si>
    <t>13-07-2010</t>
  </si>
  <si>
    <t>A/121 AARDHANA DUPLEX LAXMIPURA ROAD</t>
  </si>
  <si>
    <t>9316887823</t>
  </si>
  <si>
    <t>6353431905</t>
  </si>
  <si>
    <t>Chauhan Tirth Chetanbhai</t>
  </si>
  <si>
    <t>21-09-2009</t>
  </si>
  <si>
    <t>2/19 Shree Ram park Society</t>
  </si>
  <si>
    <t>9714363489</t>
  </si>
  <si>
    <t>PRAJAPATI SUJAL VISHALBHAI</t>
  </si>
  <si>
    <t>09-08-2011</t>
  </si>
  <si>
    <t>I/705 Swamivivekanand Hights</t>
  </si>
  <si>
    <t>8401099917</t>
  </si>
  <si>
    <t>9th</t>
  </si>
  <si>
    <t>UPADHYAY DHAIVIK HEMALBHAI</t>
  </si>
  <si>
    <t>8316233516</t>
  </si>
  <si>
    <t>PATEL ANSH AATISHBHAI</t>
  </si>
  <si>
    <t>22-SHANTINAGAR, GORWA</t>
  </si>
  <si>
    <t>9277603521</t>
  </si>
  <si>
    <t>10TH</t>
  </si>
  <si>
    <t>SK ID 03: PATEL DHRUV ANILBHAI</t>
  </si>
  <si>
    <t>2443</t>
  </si>
  <si>
    <t>THAKKAR PARTH JAYSHREEBEN</t>
  </si>
  <si>
    <t>20-01-2006</t>
  </si>
  <si>
    <t>2/50, VISHWAKUNJ SOCIETY, GORWA</t>
  </si>
  <si>
    <t>7874615973</t>
  </si>
  <si>
    <t>7487855367</t>
  </si>
  <si>
    <t>BTECH 3rd Year</t>
  </si>
  <si>
    <t>2718</t>
  </si>
  <si>
    <t>PATEL DHAIRYA PRITESHBHAI</t>
  </si>
  <si>
    <t>10-04-2007</t>
  </si>
  <si>
    <t>87,SNEH SMRUTI SOCIETY,SUBHANPURA</t>
  </si>
  <si>
    <t>9313423530</t>
  </si>
  <si>
    <t>9687743443</t>
  </si>
  <si>
    <t>7600027089</t>
  </si>
  <si>
    <t>B Com 1st Year</t>
  </si>
  <si>
    <t>2735</t>
  </si>
  <si>
    <t>PATEL MAHARSHI MUKESHBHAI</t>
  </si>
  <si>
    <t>25-05-2007</t>
  </si>
  <si>
    <t>A/2,BECHARBHAI PARK SOCIETY,GORWA</t>
  </si>
  <si>
    <t>9426372674</t>
  </si>
  <si>
    <t>7041680338</t>
  </si>
  <si>
    <t>CE 1st Year</t>
  </si>
  <si>
    <t>THAKKAR MEET JAYSHREEBEN</t>
  </si>
  <si>
    <t>17-04-2007</t>
  </si>
  <si>
    <t>Diploma 2nd year</t>
  </si>
  <si>
    <t>Patel Vandan Mittalbhai</t>
  </si>
  <si>
    <t>10-05-2009</t>
  </si>
  <si>
    <t>33-Narayan Nagar so, Gorwa</t>
  </si>
  <si>
    <t>8780636828</t>
  </si>
  <si>
    <t>9724319528</t>
  </si>
  <si>
    <t>11TH(sci)</t>
  </si>
  <si>
    <t>Solanki Indrajit Jashvantbhai</t>
  </si>
  <si>
    <t>Solanki Fadyu</t>
  </si>
  <si>
    <t>9824173213</t>
  </si>
  <si>
    <t>Parmar Aditya Maheshbhai</t>
  </si>
  <si>
    <t>Lalji Mandir Fadyu</t>
  </si>
  <si>
    <t>9737008070</t>
  </si>
  <si>
    <t>PATEL SHIV Harishkumar</t>
  </si>
  <si>
    <t>06-11-2006</t>
  </si>
  <si>
    <t>A-4,ABHAY NAGAR</t>
  </si>
  <si>
    <t>9265228280</t>
  </si>
  <si>
    <t>9427847019</t>
  </si>
  <si>
    <t>B.Sc(Sem-5)</t>
  </si>
  <si>
    <t>CHAUHAN RAJIVIR DILIPSINH</t>
  </si>
  <si>
    <t>GORWA GAM NI PACHAD</t>
  </si>
  <si>
    <t>9106852333</t>
  </si>
  <si>
    <t>9TH</t>
  </si>
  <si>
    <t>CHAUHAN DARSH MAHESHBHAI</t>
  </si>
  <si>
    <t>53 NARAYAN NAGAR</t>
  </si>
  <si>
    <t>9662780553</t>
  </si>
  <si>
    <t>SOLANKI GAUTAM ALPESHBHAI</t>
  </si>
  <si>
    <t>LALAJI MANDIR FADIYU</t>
  </si>
  <si>
    <t>7600313370</t>
  </si>
  <si>
    <t>SK ID 04: PATEL DARSHAN VINODBHAI</t>
  </si>
  <si>
    <t>150</t>
  </si>
  <si>
    <t>PATEL PARTH DINESHBHAI (BK)</t>
  </si>
  <si>
    <t>09-01-1999</t>
  </si>
  <si>
    <t>B-23, NARMADANAGARI-2 NEAR ITI GORWA</t>
  </si>
  <si>
    <t>9662494649</t>
  </si>
  <si>
    <t>9998009101</t>
  </si>
  <si>
    <t>BE (Mechanical) Completed</t>
  </si>
  <si>
    <t>1395</t>
  </si>
  <si>
    <t>PATEL VASANT PRAVINBHAI</t>
  </si>
  <si>
    <t>12-09-1992</t>
  </si>
  <si>
    <t>1,SHARDA PARK SOCIETY, B/H ARUNACHAL SOCIETY, SUBHANPURA</t>
  </si>
  <si>
    <t>9601988696</t>
  </si>
  <si>
    <t>9725043533</t>
  </si>
  <si>
    <t>Business</t>
  </si>
  <si>
    <t>PATEL JENISH HARESHBHAI</t>
  </si>
  <si>
    <t>26-07-1999</t>
  </si>
  <si>
    <t>C-33,VITTHALESH BUNGLOWS,B/H KASHIDHAM</t>
  </si>
  <si>
    <t>9998054985</t>
  </si>
  <si>
    <t>B.TECH(MECH)</t>
  </si>
  <si>
    <t>BOKALANI AADIYA DINESHBHAI</t>
  </si>
  <si>
    <t>B-27 NARMADANAGARI</t>
  </si>
  <si>
    <t>7874696961</t>
  </si>
  <si>
    <t>PATEL NITYA</t>
  </si>
  <si>
    <t>9313997712</t>
  </si>
  <si>
    <t>SK ID 05: PATEL DIVYA PRAGANESHBHAI</t>
  </si>
  <si>
    <t>1402</t>
  </si>
  <si>
    <t>DARJI TARANG BABUBHAI</t>
  </si>
  <si>
    <t>14-09-1999</t>
  </si>
  <si>
    <t>211,ASHIRWAD NAGAR SOCIETY</t>
  </si>
  <si>
    <t>9870053180</t>
  </si>
  <si>
    <t>9898720511</t>
  </si>
  <si>
    <t>200</t>
  </si>
  <si>
    <t>PATEL TIRTH BHARATBHAI</t>
  </si>
  <si>
    <t>22-12-2000</t>
  </si>
  <si>
    <t>144, ASHIRVAD NAGAR SOCIETY</t>
  </si>
  <si>
    <t>7383955643</t>
  </si>
  <si>
    <t>9979938817</t>
  </si>
  <si>
    <t>2719</t>
  </si>
  <si>
    <t>PATEL MIHIR RAJENDRABHAI</t>
  </si>
  <si>
    <t>04-08-2008</t>
  </si>
  <si>
    <t>189,ASHIRVAD NAGAR SOCIETY</t>
  </si>
  <si>
    <t>9624940583</t>
  </si>
  <si>
    <t>9737117857</t>
  </si>
  <si>
    <t>DIPLOMA</t>
  </si>
  <si>
    <t>SUTHAR PRINCE DIPAKBHAI</t>
  </si>
  <si>
    <t>13-11-2009</t>
  </si>
  <si>
    <t>368 RANCHHODRAI NAGAR,GORWA</t>
  </si>
  <si>
    <t>8200730718</t>
  </si>
  <si>
    <t>9537826470</t>
  </si>
  <si>
    <t>11TH Sci</t>
  </si>
  <si>
    <t>PATEL HARSHIL Nayanbhai</t>
  </si>
  <si>
    <t>24-9-2008</t>
  </si>
  <si>
    <t>B-3 Darpan Vatika Society, Nr Sapna na Vavetar,Laxmipura Road,Gorwa</t>
  </si>
  <si>
    <t>9426824413</t>
  </si>
  <si>
    <t>8200149960</t>
  </si>
  <si>
    <t>12th Sci</t>
  </si>
  <si>
    <t>Dhruv Panchal</t>
  </si>
  <si>
    <t>23-04-2011</t>
  </si>
  <si>
    <t>C-75,BHAGYALAXMI SOC</t>
  </si>
  <si>
    <t>9601627755</t>
  </si>
  <si>
    <t>9512443854</t>
  </si>
  <si>
    <t>8th</t>
  </si>
  <si>
    <t>MOHITE YOGESH</t>
  </si>
  <si>
    <t>23-06-1997</t>
  </si>
  <si>
    <t>204, Divyasankul Appartment, ne Amar car show room,Gorwa</t>
  </si>
  <si>
    <t>7048221641</t>
  </si>
  <si>
    <t>PATEL JAINAM BRIJESHBHAI</t>
  </si>
  <si>
    <t>26-04-2011</t>
  </si>
  <si>
    <t>A-58 BHAGYALAXMI SOC</t>
  </si>
  <si>
    <t>9265575181</t>
  </si>
  <si>
    <t>SK ID 06: PATEL DHRUVKUMAR UMESHBHAI</t>
  </si>
  <si>
    <t>201</t>
  </si>
  <si>
    <t>BHATIYA KISHANKUMAR MUKESHBHAI</t>
  </si>
  <si>
    <t>01-05-1998</t>
  </si>
  <si>
    <t>24/546,RIDDHI-SIDDHI FLAT, GORWA</t>
  </si>
  <si>
    <t>7874799462</t>
  </si>
  <si>
    <t>9558105610</t>
  </si>
  <si>
    <t>BE (Electrical) Completed</t>
  </si>
  <si>
    <t>1742</t>
  </si>
  <si>
    <t>GOHIL JAY HITESHBHAI (BK)</t>
  </si>
  <si>
    <t>24-09-2004</t>
  </si>
  <si>
    <t>21-477 / OM FLAT OPP.BHAILAL PARTY PLOT</t>
  </si>
  <si>
    <t>8485932921</t>
  </si>
  <si>
    <t>9879791252</t>
  </si>
  <si>
    <t>Diploma(4th) (IT)</t>
  </si>
  <si>
    <t>2445</t>
  </si>
  <si>
    <t>GURJAR RISHABH MANISHBHAI (BK)</t>
  </si>
  <si>
    <t>22-05-2005</t>
  </si>
  <si>
    <t>1133,LAXMIKUNJ SOC. BEHIND AADARSH DUPLEX</t>
  </si>
  <si>
    <t>9408760525</t>
  </si>
  <si>
    <t>8401362301</t>
  </si>
  <si>
    <t>Diploma(5th) (IT)</t>
  </si>
  <si>
    <t>2721</t>
  </si>
  <si>
    <t>PATEL MAYUR TUSHARBHAI</t>
  </si>
  <si>
    <t>02-06-2006</t>
  </si>
  <si>
    <t>H/18,ADARSH DUPLEX,B/H SATYAM FLATS</t>
  </si>
  <si>
    <t>8200255101</t>
  </si>
  <si>
    <t>9409027154</t>
  </si>
  <si>
    <t>DIPLOMA(COM) 3rd</t>
  </si>
  <si>
    <t>LASHKARI OM ALPESHBHAI</t>
  </si>
  <si>
    <t>05-07-2007</t>
  </si>
  <si>
    <t>70,PRAGATINAGAR SOCIETY</t>
  </si>
  <si>
    <t>9408409563</t>
  </si>
  <si>
    <t>GOHIL PARTH CHETANBHAI (BK)</t>
  </si>
  <si>
    <t>27-11-2005</t>
  </si>
  <si>
    <t>26/751,SATYAM APARTMENT</t>
  </si>
  <si>
    <t>9173291580</t>
  </si>
  <si>
    <t>DIPLOMA(IT) 3rd</t>
  </si>
  <si>
    <t>SK ID 07: PATOLIYA ANKUR CHANDULAL</t>
  </si>
  <si>
    <t>1670</t>
  </si>
  <si>
    <t>PATEL NEELKANTH AMITBHAI</t>
  </si>
  <si>
    <t>08-08-2003</t>
  </si>
  <si>
    <t>2 GAYATRIKRUPA SOCIETY KARODIA ROAD</t>
  </si>
  <si>
    <t>8780424495</t>
  </si>
  <si>
    <t>9925225802</t>
  </si>
  <si>
    <t>B.E (Mech.) (5th)</t>
  </si>
  <si>
    <t>2448</t>
  </si>
  <si>
    <t>PATEL PANKAJ ALPESHBHAI</t>
  </si>
  <si>
    <t>31-01-2005</t>
  </si>
  <si>
    <t>E-101, LABH RESIDENCY-1, KARODIYA ROAD</t>
  </si>
  <si>
    <t>9054940168</t>
  </si>
  <si>
    <t>9909361769</t>
  </si>
  <si>
    <t>B.B.A 1st sem</t>
  </si>
  <si>
    <t>2722</t>
  </si>
  <si>
    <t>UKANI DHRUV JAGDISHBHAI</t>
  </si>
  <si>
    <t>29-10-2006</t>
  </si>
  <si>
    <t>5, ALEMBIC NAGAR,NR.C.K.PRAJAPTI SCHOOL</t>
  </si>
  <si>
    <t>7405198242</t>
  </si>
  <si>
    <t>1405198242</t>
  </si>
  <si>
    <t>9033419568</t>
  </si>
  <si>
    <t>11th commerce</t>
  </si>
  <si>
    <t>VERMA PRIYANSHU HARISH</t>
  </si>
  <si>
    <t>17-07-2009</t>
  </si>
  <si>
    <t>D-9,NIPA TENAMENT,KARODIYA ROAD</t>
  </si>
  <si>
    <t>9725659995</t>
  </si>
  <si>
    <t>MAKWANA HARSH DHIRUBHAI</t>
  </si>
  <si>
    <t>06-01-2007</t>
  </si>
  <si>
    <t>A-7,SILVERPARK SOCIETY,KARODIYA ROAD</t>
  </si>
  <si>
    <t>9624603018</t>
  </si>
  <si>
    <t>12TH COMMERCE</t>
  </si>
  <si>
    <t>PATEL DEV PRAGNESHBHAI</t>
  </si>
  <si>
    <t>22-06-2003</t>
  </si>
  <si>
    <t>PATEL FALIYU,B/H JALARAM MANDIR,SUBHANPURA</t>
  </si>
  <si>
    <t>7226939708</t>
  </si>
  <si>
    <t>B.COM</t>
  </si>
  <si>
    <t>Patel Kirtan Amitkumar</t>
  </si>
  <si>
    <t>SK ID 08: RATHVA HARDIK RAYSINGBHAI</t>
  </si>
  <si>
    <t>167</t>
  </si>
  <si>
    <t>VAGHELA HARSHRAJSINH PRADEEPSINH (BK)</t>
  </si>
  <si>
    <t>07-12-1998</t>
  </si>
  <si>
    <t>C-36,PRAMUKHPARK-1, LAXMIPURA ROAD</t>
  </si>
  <si>
    <t>7284027546</t>
  </si>
  <si>
    <t>9898584666</t>
  </si>
  <si>
    <t>MBBS-Completed</t>
  </si>
  <si>
    <t>217</t>
  </si>
  <si>
    <t>BRAHMBHATT PARTH DHARMENDRABHAI</t>
  </si>
  <si>
    <t>20-02-2003</t>
  </si>
  <si>
    <t>C-94, KUNJ VILLA TOWNSHIP LAXMIPURA ROAD</t>
  </si>
  <si>
    <t>8200677507</t>
  </si>
  <si>
    <t>9510652893</t>
  </si>
  <si>
    <t>B.Com(T.Y)</t>
  </si>
  <si>
    <t>1669</t>
  </si>
  <si>
    <t>PATEL JIGNASU AJAYBHAI (BK)</t>
  </si>
  <si>
    <t>22-01-2004</t>
  </si>
  <si>
    <t>C/28 NARMADA PARK SOCIETY, PANCHVATI</t>
  </si>
  <si>
    <t>9409804278</t>
  </si>
  <si>
    <t>9428355078</t>
  </si>
  <si>
    <t>B.Sc (5th)</t>
  </si>
  <si>
    <t>1672</t>
  </si>
  <si>
    <t>VARIYA PRADIP JITENDRABHAI</t>
  </si>
  <si>
    <t>21-11-2003</t>
  </si>
  <si>
    <t>246 MADHAV PARK SOCIETY LAXMIPURA ROAD</t>
  </si>
  <si>
    <t>9638377721</t>
  </si>
  <si>
    <t>9712187930</t>
  </si>
  <si>
    <t>1677</t>
  </si>
  <si>
    <t>PANCHAL RUTVIK RAKESHKUMAR (BK)</t>
  </si>
  <si>
    <t>07-11-1999</t>
  </si>
  <si>
    <t>J/26 NARMADA PARK SOCIETY - 2, GORWA</t>
  </si>
  <si>
    <t>9081487644</t>
  </si>
  <si>
    <t>9904841072</t>
  </si>
  <si>
    <t>M.Sc completed</t>
  </si>
  <si>
    <t>1678</t>
  </si>
  <si>
    <t>LIMBACHIYA NIKUNJ JASVANTBHAI (BK)</t>
  </si>
  <si>
    <t>03-09-1992</t>
  </si>
  <si>
    <t>58/ SONIYA NAGAR, PANCHVATI</t>
  </si>
  <si>
    <t>8460165562</t>
  </si>
  <si>
    <t>7984617273</t>
  </si>
  <si>
    <t>Job</t>
  </si>
  <si>
    <t>1720</t>
  </si>
  <si>
    <t>VARIYA HARDIK JITENDRAKUMAR</t>
  </si>
  <si>
    <t>01-01-2002</t>
  </si>
  <si>
    <t>246 / MADHAV PARK SOCIETY, LAXMIPURA ROAD</t>
  </si>
  <si>
    <t>8980234789</t>
  </si>
  <si>
    <t>7990683410</t>
  </si>
  <si>
    <t>JOB (OUT OF CITY)</t>
  </si>
  <si>
    <t>2730</t>
  </si>
  <si>
    <t>VADAND RUDRA KAUSHIKBHAI</t>
  </si>
  <si>
    <t>29-08-2006</t>
  </si>
  <si>
    <t>VALAND FALIYU,OPP.RANCHODJI MANDIR, GORWA GAM</t>
  </si>
  <si>
    <t>9879665043</t>
  </si>
  <si>
    <t>9099546007</t>
  </si>
  <si>
    <t>12TH (COM.)</t>
  </si>
  <si>
    <t>2449</t>
  </si>
  <si>
    <t>PARMAR SUJAL THAKORBHAI</t>
  </si>
  <si>
    <t>25-07-2005</t>
  </si>
  <si>
    <t>L-15 SHIVDARSHAN SOC.,LAXMIPURA ROAD.</t>
  </si>
  <si>
    <t>7862872620</t>
  </si>
  <si>
    <t>9825219855</t>
  </si>
  <si>
    <t>DIPLOMA (6th) CHEMICAL</t>
  </si>
  <si>
    <t>PADHIYAR MANTHAN BIPINBHAI</t>
  </si>
  <si>
    <t>26-04-2007</t>
  </si>
  <si>
    <t>A/7 PRAMUKHPARK -2 SOCIETY,SAHYOG</t>
  </si>
  <si>
    <t>9925046913</t>
  </si>
  <si>
    <t>DIPLOMA (ELEC.) 1st SEM</t>
  </si>
  <si>
    <t>RATHVA DHAIRYA</t>
  </si>
  <si>
    <t>29-11-2008</t>
  </si>
  <si>
    <t>3,Shiv Duplex,Laxmipura ROad,Gorwa</t>
  </si>
  <si>
    <t>8238577693</t>
  </si>
  <si>
    <t>9913805014</t>
  </si>
  <si>
    <t>12 sci</t>
  </si>
  <si>
    <t>SK ID 09: RAJ RAVI JAYESHBHAI</t>
  </si>
  <si>
    <t>177</t>
  </si>
  <si>
    <t>PATEL PRUTH JETHABHAI (BK)</t>
  </si>
  <si>
    <t>26-02-1997</t>
  </si>
  <si>
    <t>D-19,NIPA TENAMENT-2, GORWA</t>
  </si>
  <si>
    <t>7990127054</t>
  </si>
  <si>
    <t>BE - Completed</t>
  </si>
  <si>
    <t>184</t>
  </si>
  <si>
    <t>GAJJAR VISHAL RAKESHBHAI</t>
  </si>
  <si>
    <t>14-08-2001</t>
  </si>
  <si>
    <t>E-94,JANAKPURI SOCIETY NEAR NARMADA CANAL</t>
  </si>
  <si>
    <t>8320218906</t>
  </si>
  <si>
    <t>9725278337</t>
  </si>
  <si>
    <t>ITI(Welder)</t>
  </si>
  <si>
    <t>185</t>
  </si>
  <si>
    <t>GAJJAR YOGESH RAKESHBHAI (BK)</t>
  </si>
  <si>
    <t>12-05-1998</t>
  </si>
  <si>
    <t>9664802823</t>
  </si>
  <si>
    <t>7984729669</t>
  </si>
  <si>
    <t>207</t>
  </si>
  <si>
    <t>PAREKH YASH HITESHBHAI (BK)</t>
  </si>
  <si>
    <t>05-01-2000</t>
  </si>
  <si>
    <t>E-87,JANAK PURI SOCIETY NEAR NARMADA CANAL</t>
  </si>
  <si>
    <t>8128482570</t>
  </si>
  <si>
    <t>9913559795</t>
  </si>
  <si>
    <t>2452</t>
  </si>
  <si>
    <t>DARBAR VISHNUSINH ABHESINH</t>
  </si>
  <si>
    <t>07-03-2006</t>
  </si>
  <si>
    <t>17- JANAKPURI SOCIETY-2, KARODIA ROAD</t>
  </si>
  <si>
    <t>8160342797</t>
  </si>
  <si>
    <t>9724402797</t>
  </si>
  <si>
    <t>B.A.(Sem-2)</t>
  </si>
  <si>
    <t>RATHOD JAY KARSHANBHAI</t>
  </si>
  <si>
    <t>17-11-2007</t>
  </si>
  <si>
    <t>78, JANAKPURI SOCIETY</t>
  </si>
  <si>
    <t>9978345066</t>
  </si>
  <si>
    <t>MAHIDA AKSHAY AMITBHAI</t>
  </si>
  <si>
    <t>24-04-2009</t>
  </si>
  <si>
    <t>202,KASHIDHAM SOCIETY,KARODIYA ROAD</t>
  </si>
  <si>
    <t>8347453720</t>
  </si>
  <si>
    <t>Rathod Harshil Karshanbhai</t>
  </si>
  <si>
    <t>Sisodiya Dhruvil Ravindrasinh</t>
  </si>
  <si>
    <t>45 Janakpuri-2, Madhunagar</t>
  </si>
  <si>
    <t>8200406231</t>
  </si>
  <si>
    <t>CHAUHAN RUDAR LALITBHAI</t>
  </si>
  <si>
    <t>B-33 JANAKPURI</t>
  </si>
  <si>
    <t>7201814518</t>
  </si>
  <si>
    <t>RAVAT MAYANK MANSINHBHAI</t>
  </si>
  <si>
    <t>B-70 NILESHNAGAR</t>
  </si>
  <si>
    <t>6353782969</t>
  </si>
  <si>
    <t>MAKWANA BHAVYA SATISHBHAI</t>
  </si>
  <si>
    <t>A-11, MARUTI SOCIETY, BESIDE OMKAR FLATS, PANCHVATI</t>
  </si>
  <si>
    <t>7600033236</t>
  </si>
  <si>
    <t>HATHILA DAKSHESH BHARATBHAI</t>
  </si>
  <si>
    <t>11,JANAK PURI SOCIETY-2, NEAR NARMADA CANAL</t>
  </si>
  <si>
    <t>9925082874</t>
  </si>
  <si>
    <t>Tirth Mahida</t>
  </si>
  <si>
    <t>SK ID 10: PATEL HENIL SHAILESHBHAI</t>
  </si>
  <si>
    <t>2451</t>
  </si>
  <si>
    <t>PATEL HARI YOGESHBHAI (BK)</t>
  </si>
  <si>
    <t>21-11-2005</t>
  </si>
  <si>
    <t>TAKI WALU FALIYU TIMBA KHADKI GORWA GAM</t>
  </si>
  <si>
    <t>9558823134</t>
  </si>
  <si>
    <t>9313442256</t>
  </si>
  <si>
    <t>DIPLOMA (5th) Ele.Eng</t>
  </si>
  <si>
    <t>2453</t>
  </si>
  <si>
    <t>PATEL RAVI BHARATBHAI</t>
  </si>
  <si>
    <t>15-05-2003</t>
  </si>
  <si>
    <t>BAMAN FALIYU , AZAD KHADKI, NR BHATHIJI TEMPLE</t>
  </si>
  <si>
    <t>9978402453</t>
  </si>
  <si>
    <t>9265687395</t>
  </si>
  <si>
    <t>Diploma(Mech) 7th sem</t>
  </si>
  <si>
    <t>148</t>
  </si>
  <si>
    <t>NAYEE VIPUL JAYESHBHAI</t>
  </si>
  <si>
    <t>21-05-1993</t>
  </si>
  <si>
    <t>SARDAR CHOWK KUMBHARWADA GORWA</t>
  </si>
  <si>
    <t>9904837414</t>
  </si>
  <si>
    <t>9824253990</t>
  </si>
  <si>
    <t>156</t>
  </si>
  <si>
    <t>PAREKH YASH RAJNIKUMAR</t>
  </si>
  <si>
    <t>02-10-2000</t>
  </si>
  <si>
    <t>214,ANANDNAGAR GORWA HOUSING BOARD GORWA</t>
  </si>
  <si>
    <t>7228945673</t>
  </si>
  <si>
    <t>9662765584</t>
  </si>
  <si>
    <t>MBA - Completed</t>
  </si>
  <si>
    <t>1731</t>
  </si>
  <si>
    <t>DURVE CHINTAN DILIPBHAI</t>
  </si>
  <si>
    <t>20-02-1999</t>
  </si>
  <si>
    <t>6-265/DIVYA DARSHAN SOCIETY, GORWA</t>
  </si>
  <si>
    <t>7405679779</t>
  </si>
  <si>
    <t>9898119738</t>
  </si>
  <si>
    <t>1722</t>
  </si>
  <si>
    <t>DARJI BANISH DILIPBHAI</t>
  </si>
  <si>
    <t>16-01-2003</t>
  </si>
  <si>
    <t>51/ JAY SATYANARAYAN SOCIETY NR.NARAYAN NAGAR</t>
  </si>
  <si>
    <t>8980627135</t>
  </si>
  <si>
    <t>9998148814</t>
  </si>
  <si>
    <t>B.E 5thsem</t>
  </si>
  <si>
    <t>2447</t>
  </si>
  <si>
    <t>SOLANKI DARSHAN HARMANBHAI</t>
  </si>
  <si>
    <t>23-02-2004</t>
  </si>
  <si>
    <t>16, NARAYAN NAGAR SOCIETY</t>
  </si>
  <si>
    <t>7990834462</t>
  </si>
  <si>
    <t>9426633057</t>
  </si>
  <si>
    <t>Graphic design (1st)</t>
  </si>
  <si>
    <t>149</t>
  </si>
  <si>
    <t>DESAI KRUNAL RAMESHBHAI</t>
  </si>
  <si>
    <t>26-08-1989</t>
  </si>
  <si>
    <t>36 JAY AMBE SOCIETY,DASHAMA CHOKDI,GORWA 390016</t>
  </si>
  <si>
    <t>9925319992</t>
  </si>
  <si>
    <t>8200202264</t>
  </si>
  <si>
    <t>PATEL PARAM SHAILESHBHAI</t>
  </si>
  <si>
    <t>1/44 VIKASH NAGAR</t>
  </si>
  <si>
    <t>9924905856</t>
  </si>
  <si>
    <t>SK ID 11: PARMAR SHASHANK</t>
  </si>
  <si>
    <t>PATEL NEEV PINALBHAI</t>
  </si>
  <si>
    <t>SECTOR-1, B-705, RELAINCE TOWNSHIP</t>
  </si>
  <si>
    <t>9998985194</t>
  </si>
  <si>
    <t>PATEL SWAYAM SATISHBHAI</t>
  </si>
  <si>
    <t>7600624409</t>
  </si>
  <si>
    <t>PATEL SHUBH BHAVESHBHAI</t>
  </si>
  <si>
    <t>B-165, BHAGYODAY SOCIETY, SAHYOG</t>
  </si>
  <si>
    <t>9898948116</t>
  </si>
  <si>
    <t>RATHOD PRIT YOGESHBHAI</t>
  </si>
  <si>
    <t>9638752207</t>
  </si>
  <si>
    <t>PARMAR YUVRAJ MANOJBHAI</t>
  </si>
  <si>
    <t>KAROIYA SHIV MANDIRE NI SAME</t>
  </si>
  <si>
    <t>7984794530</t>
  </si>
  <si>
    <t>SK ID 12: PATEL YASH KETANBHAI</t>
  </si>
  <si>
    <t>2454</t>
  </si>
  <si>
    <t>MAKWANA SOHAM KETANBHAI</t>
  </si>
  <si>
    <t>20-11-2004</t>
  </si>
  <si>
    <t>18/B JALANAND TOWNSHIP</t>
  </si>
  <si>
    <t>9429969398</t>
  </si>
  <si>
    <t>12TH Science</t>
  </si>
  <si>
    <t>2732</t>
  </si>
  <si>
    <t>CHAUHAN KRUNAL AMARSINH</t>
  </si>
  <si>
    <t>06-01-2004</t>
  </si>
  <si>
    <t>AMIN KHADKI,UNDERA</t>
  </si>
  <si>
    <t>8849041631</t>
  </si>
  <si>
    <t>8320251669</t>
  </si>
  <si>
    <t>MBA(Sem-2)</t>
  </si>
  <si>
    <t>2458</t>
  </si>
  <si>
    <t>NATHVANI JEET JAYESHBHAI</t>
  </si>
  <si>
    <t>26-12-2003</t>
  </si>
  <si>
    <t>C-61 SAROJ PARK</t>
  </si>
  <si>
    <t>7567120438</t>
  </si>
  <si>
    <t>7352332608</t>
  </si>
  <si>
    <t>BCA (5th)</t>
  </si>
  <si>
    <t>1727</t>
  </si>
  <si>
    <t>PANDYA NEEL MANISHBHAI</t>
  </si>
  <si>
    <t>11-11-1999</t>
  </si>
  <si>
    <t>ANAND FALIYU, UNDERA</t>
  </si>
  <si>
    <t>9574284910</t>
  </si>
  <si>
    <t>9574346490</t>
  </si>
  <si>
    <t>2731</t>
  </si>
  <si>
    <t>MAKWANA JAY KETANKUMAR</t>
  </si>
  <si>
    <t>10-10-2008</t>
  </si>
  <si>
    <t>B/18,JALANAND TOWNSHIP,REFINERY ROAD</t>
  </si>
  <si>
    <t>9662540629</t>
  </si>
  <si>
    <t>JADHAV TIRTH SHASHIKANTBHAI</t>
  </si>
  <si>
    <t>28-07-2009</t>
  </si>
  <si>
    <t>A-101,JANKINAGAR,BEHIND BARSANA FLAT</t>
  </si>
  <si>
    <t>8000046478</t>
  </si>
  <si>
    <t>ZALA KARMRAJ YOGENDRASINH</t>
  </si>
  <si>
    <t>18-03-2005</t>
  </si>
  <si>
    <t>B-28,JALANAND TOWNSHIP</t>
  </si>
  <si>
    <t>8799614440</t>
  </si>
  <si>
    <t>12TH COMM</t>
  </si>
  <si>
    <t>CHUHAN PAVITRA VIKRAMBHAI</t>
  </si>
  <si>
    <t>UNDERA GAM</t>
  </si>
  <si>
    <t>9316135599</t>
  </si>
  <si>
    <t>Sharma Harsh Jitendra</t>
  </si>
  <si>
    <t>D/49 SHRI HARI TENEMENT . NR, PRATHAM SHRUSHTHI</t>
  </si>
  <si>
    <t>9316346329</t>
  </si>
  <si>
    <t>Vadand PREET</t>
  </si>
  <si>
    <t>02-12-2010</t>
  </si>
  <si>
    <t>9313154430</t>
  </si>
  <si>
    <t>Bhatt Soham Anilbhai</t>
  </si>
  <si>
    <t>95- Pratham Shrshti</t>
  </si>
  <si>
    <t>9638360614</t>
  </si>
  <si>
    <t>Padhiyar Vraj Dineshbhai</t>
  </si>
  <si>
    <t>F-141 Pushpak Township, Undera</t>
  </si>
  <si>
    <t>9998965784</t>
  </si>
  <si>
    <t>TADVI MAYUR VIJAYBHAI</t>
  </si>
  <si>
    <t>B-148, SAROJPARK-2, UNDERA</t>
  </si>
  <si>
    <t>9924546497</t>
  </si>
  <si>
    <t>Rajput Suchit Mehulbhai</t>
  </si>
  <si>
    <t>B-64 Pushpak Township, Undera</t>
  </si>
  <si>
    <t>9875184681</t>
  </si>
  <si>
    <t>SOLANKI VEDANT SANJAYBHAI</t>
  </si>
  <si>
    <t>B-116 SAROJPARK-1, UNDERA</t>
  </si>
  <si>
    <t>9998970810</t>
  </si>
  <si>
    <t>YADAV HARSHIT DINESHBHAI</t>
  </si>
  <si>
    <t>F-114 Pushpak Township, Undera</t>
  </si>
  <si>
    <t>9898664604</t>
  </si>
  <si>
    <t>PRAJAPATI TIRTH PARESHBHAI</t>
  </si>
  <si>
    <t>09-05-2009</t>
  </si>
  <si>
    <t>C-102 ESHANYA FLORENZA</t>
  </si>
  <si>
    <t>7600008045</t>
  </si>
  <si>
    <t>7600008046</t>
  </si>
  <si>
    <t>Patel Om Kamleshbhai</t>
  </si>
  <si>
    <t>13-6-2010</t>
  </si>
  <si>
    <t>16-sahaj Avenue Near Gyatri Petrol pump,Undera,vadodara</t>
  </si>
  <si>
    <t>9427980715</t>
  </si>
  <si>
    <t>9924522082</t>
  </si>
  <si>
    <t>PATEL NIHAL JIGNESHBHAI</t>
  </si>
  <si>
    <t>K-304 ISHANIYA</t>
  </si>
  <si>
    <t>9824239491</t>
  </si>
  <si>
    <t>HariKrishna</t>
  </si>
  <si>
    <t>PRAJAPATI HARSH JIGNESHBHAI</t>
  </si>
  <si>
    <t>02-05-2009</t>
  </si>
  <si>
    <t>47-PRATHAM SHRUSHTI</t>
  </si>
  <si>
    <t>7490033102</t>
  </si>
  <si>
    <t>hiren rajput</t>
  </si>
  <si>
    <t>om Patel</t>
  </si>
  <si>
    <t>SK ID 13: PARMAR SHUBHAM BHANUPRASAD</t>
  </si>
  <si>
    <t>2736</t>
  </si>
  <si>
    <t>PANCHAL SHIV VINODBHAI</t>
  </si>
  <si>
    <t>02-11-2006</t>
  </si>
  <si>
    <t>206,ANKUR AVENUE,PANCHVATI</t>
  </si>
  <si>
    <t>6352412446</t>
  </si>
  <si>
    <t>9825376149</t>
  </si>
  <si>
    <t>DIPLOMA(COMP) 3rd SEM</t>
  </si>
  <si>
    <t>2442</t>
  </si>
  <si>
    <t>PATEL DEV RAJESHBHAI</t>
  </si>
  <si>
    <t>26-07-2005</t>
  </si>
  <si>
    <t>1/18 GHANSHYAM PARK SOCIETY, B/H NARMADESHWAR</t>
  </si>
  <si>
    <t>6354097734</t>
  </si>
  <si>
    <t>9974701325</t>
  </si>
  <si>
    <t>2714</t>
  </si>
  <si>
    <t>PARMAR PUSHPENDRASINH VIRENDRASINH</t>
  </si>
  <si>
    <t>14-09-2007</t>
  </si>
  <si>
    <t>F/8 ASOPALAV SOCIETY,NR.PREMNAGAR,PANCHVATI</t>
  </si>
  <si>
    <t>9925138570</t>
  </si>
  <si>
    <t>7623864616</t>
  </si>
  <si>
    <t>2715</t>
  </si>
  <si>
    <t>RATHVA AKSHAR NARAYANBHAI</t>
  </si>
  <si>
    <t>16-01-2008</t>
  </si>
  <si>
    <t>D-5 MIDLAND PARK,OPP.SHARNAM AVENUE,PANCHVATI</t>
  </si>
  <si>
    <t>9327809491</t>
  </si>
  <si>
    <t>9924378331</t>
  </si>
  <si>
    <t>11th science</t>
  </si>
  <si>
    <t>1744</t>
  </si>
  <si>
    <t>PAREKH MANAV MANOJBHAI</t>
  </si>
  <si>
    <t>27-05-2004</t>
  </si>
  <si>
    <t>1/14 - GHANSHYAM PARK SOCIETY, B/H NARMADESHWAR</t>
  </si>
  <si>
    <t>9106618804</t>
  </si>
  <si>
    <t>9909411908</t>
  </si>
  <si>
    <t>Diploma completed</t>
  </si>
  <si>
    <t>2727</t>
  </si>
  <si>
    <t>PRAJAPATI KRISHNA DEEPAKBHAI</t>
  </si>
  <si>
    <t>15-04-2005</t>
  </si>
  <si>
    <t>3,KRISHNA TENAMENT,NR.GHANSHYAMPARK</t>
  </si>
  <si>
    <t>8200946793</t>
  </si>
  <si>
    <t>9925012617</t>
  </si>
  <si>
    <t>12TH (SCI)</t>
  </si>
  <si>
    <t>PAREKH AYUSH VIMALBHAI</t>
  </si>
  <si>
    <t>14-02-2005</t>
  </si>
  <si>
    <t>2/1449,UDAY PARK SOCIETY,PANCHVATI</t>
  </si>
  <si>
    <t>9925328085</t>
  </si>
  <si>
    <t>B.COM (1ST YEAR)</t>
  </si>
  <si>
    <t>PARMAR JAYENDRA</t>
  </si>
  <si>
    <t>SOLANKI PARTH PARESHBHAI</t>
  </si>
  <si>
    <t>02-07-2006</t>
  </si>
  <si>
    <t>C-42,SONIA NAGAR</t>
  </si>
  <si>
    <t>9106417745</t>
  </si>
  <si>
    <t>6355418864</t>
  </si>
  <si>
    <t>B.Tech 2ND YEAR</t>
  </si>
  <si>
    <t>PATEL DIVYA ALPESHBHAI</t>
  </si>
  <si>
    <t>23-10-2007</t>
  </si>
  <si>
    <t>3/25 UDAY PARK,PANCHVATI</t>
  </si>
  <si>
    <t>9998039953</t>
  </si>
  <si>
    <t>11TH (SCIENCE)</t>
  </si>
  <si>
    <t>Patel Yug Tarunbhai</t>
  </si>
  <si>
    <t>F/4 NAVDURAG SOC. LAXMIPURA</t>
  </si>
  <si>
    <t>8849485809</t>
  </si>
  <si>
    <t>PATEL JENIL JATINBHAI</t>
  </si>
  <si>
    <t>F/12 ASHOPALV SOCIETY</t>
  </si>
  <si>
    <t>9427591260</t>
  </si>
  <si>
    <t>VADAND ARYA NIRAVBHAI</t>
  </si>
  <si>
    <t>F/21 ASHOPALV SOCIETY</t>
  </si>
  <si>
    <t>9925600353</t>
  </si>
  <si>
    <t>ARYA PRIYANSU PRAGNESHBHAI</t>
  </si>
  <si>
    <t>7016165962</t>
  </si>
  <si>
    <t>PRAJAPATI Shlok Dineshbhai</t>
  </si>
  <si>
    <t>18-10-2010</t>
  </si>
  <si>
    <t>72-Soniya Nagar So. Panchvatti</t>
  </si>
  <si>
    <t>7698447159</t>
  </si>
  <si>
    <t>9265311270</t>
  </si>
  <si>
    <t>Parekh Naitik Vimalkumar</t>
  </si>
  <si>
    <t>30-4-2010</t>
  </si>
  <si>
    <t>2/144,Uday Park so.,Panchvatti</t>
  </si>
  <si>
    <t>7990096542</t>
  </si>
  <si>
    <t>10Th</t>
  </si>
  <si>
    <t>SK ID 14: PATEL BHUPENDRABHAI NANUBHAI</t>
  </si>
  <si>
    <t>2440</t>
  </si>
  <si>
    <t>29-06-1997</t>
  </si>
  <si>
    <t>73, MAHEHWAR NAGAR</t>
  </si>
  <si>
    <t>8758585218</t>
  </si>
  <si>
    <t>165</t>
  </si>
  <si>
    <t>23-05-1996</t>
  </si>
  <si>
    <t>A-7,INDRAPRASTH SOCIETY</t>
  </si>
  <si>
    <t>9909036118</t>
  </si>
  <si>
    <t>9099013464</t>
  </si>
  <si>
    <t>171</t>
  </si>
  <si>
    <t>31-08-1992</t>
  </si>
  <si>
    <t>B-3,SAMRUDDHI BUNGLOWS KARODIYA ROAD</t>
  </si>
  <si>
    <t>9726859546</t>
  </si>
  <si>
    <t>9925121847</t>
  </si>
  <si>
    <t>09-05-2003</t>
  </si>
  <si>
    <t>1/44 OLD GUJARAT HOUSING BOARD,GORWA</t>
  </si>
  <si>
    <t>9824905700</t>
  </si>
  <si>
    <t>IELTS</t>
  </si>
  <si>
    <t>161</t>
  </si>
  <si>
    <t>9327441678</t>
  </si>
  <si>
    <t>1723</t>
  </si>
  <si>
    <t>11-07-2003</t>
  </si>
  <si>
    <t>C-2/204/SAHAJ AVENUE, NR.TAKSH BUNGLOWS</t>
  </si>
  <si>
    <t>9510249962</t>
  </si>
  <si>
    <t>9898048659</t>
  </si>
  <si>
    <t>B.P.T (8th Sem)</t>
  </si>
  <si>
    <t>2450</t>
  </si>
  <si>
    <t>02-06-2002</t>
  </si>
  <si>
    <t>C-98-SMRUTI SOCIETY,PANCHVATI</t>
  </si>
  <si>
    <t>7777915866</t>
  </si>
  <si>
    <t>M.Com</t>
  </si>
  <si>
    <t>2441</t>
  </si>
  <si>
    <t>RATHVA MEET VASANTBHAI</t>
  </si>
  <si>
    <t>17-05-2005</t>
  </si>
  <si>
    <t>1/21 GHANSHYAM PARK SOCIETY, B/H NARMADESHWAR</t>
  </si>
  <si>
    <t>9106385392</t>
  </si>
  <si>
    <t>B.Pharma (2nd Sem)</t>
  </si>
  <si>
    <t>UK 01:- Bhabhor kashyap Sureshbhai</t>
  </si>
  <si>
    <t>13-3-2000</t>
  </si>
  <si>
    <t>B-301,Tower -B Shivalay Homes,Undera-Koyali Road,Undera,Vadodara</t>
  </si>
  <si>
    <t>6353458540</t>
  </si>
  <si>
    <t>9979233921</t>
  </si>
  <si>
    <t>MCA(Sem-2)</t>
  </si>
  <si>
    <t>Thakkar Shivam Mayankbhai</t>
  </si>
  <si>
    <t>9499654083</t>
  </si>
  <si>
    <t>Nayak Akshar</t>
  </si>
  <si>
    <t>Jadeja Dhruv Mukeshsinh</t>
  </si>
  <si>
    <t>9601274961</t>
  </si>
  <si>
    <t>Suthar Jyot</t>
  </si>
  <si>
    <t>9054468226</t>
  </si>
  <si>
    <t>Parekh Tushar Sunilbhai</t>
  </si>
  <si>
    <t>Jadeja Hardik Mukeshsinh</t>
  </si>
  <si>
    <t>7043992195</t>
  </si>
  <si>
    <t>Solanki Kirtan Prakashbhai</t>
  </si>
  <si>
    <t>9978914746</t>
  </si>
  <si>
    <t>9265095399</t>
  </si>
  <si>
    <t xml:space="preserve">NEW YUVAK LIST </t>
  </si>
  <si>
    <t>REMARKS</t>
  </si>
  <si>
    <t>PATEL VIRAL Mahendrabhai</t>
  </si>
  <si>
    <t>1-1-1991</t>
  </si>
  <si>
    <t>Timba khadki,Gorwa</t>
  </si>
  <si>
    <t>9724872935</t>
  </si>
  <si>
    <t>9898525478</t>
  </si>
  <si>
    <t>12TH</t>
  </si>
  <si>
    <t>PATEL NAISAL</t>
  </si>
  <si>
    <t>PARMAR KAIVAL</t>
  </si>
  <si>
    <t>DHARMIK PATEL</t>
  </si>
  <si>
    <t>HARSH PARMAR</t>
  </si>
  <si>
    <t>PARJAPATI KIRTAN RAJNIKANTBHAI</t>
  </si>
  <si>
    <t>18-08-2006</t>
  </si>
  <si>
    <t>9998039856</t>
  </si>
  <si>
    <t>darshan</t>
  </si>
  <si>
    <t>Dhruv Patel - shahyog</t>
  </si>
  <si>
    <t>gautam</t>
  </si>
  <si>
    <t>jay thakkor</t>
  </si>
  <si>
    <t>Krushik Jrthwa</t>
  </si>
  <si>
    <t>meet patel</t>
  </si>
  <si>
    <t>Nikesh Patel</t>
  </si>
  <si>
    <t>Parmar Shashank Jitendrakumar</t>
  </si>
  <si>
    <t>23-11-2001</t>
  </si>
  <si>
    <t>7622911659</t>
  </si>
  <si>
    <t>shidhraj gohil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</si>
</sst>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00000"/>
      <sz val="14"/>
      <name val="Calibri"/>
    </font>
    <font>
      <b/>
      <color rgb="FF000000"/>
      <sz val="12"/>
      <name val="Calibri"/>
    </font>
    <font>
      <b/>
      <sz val="12"/>
      <name val="Calibri"/>
    </font>
    <font>
      <b/>
      <color rgb="FF000000"/>
      <sz val="18"/>
      <name val="Calibri"/>
    </font>
    <font>
      <b/>
      <color rgb="FF000000"/>
      <sz val="16"/>
      <name val="Calibri"/>
    </font>
    <font>
      <sz val="12"/>
      <name val="Calibri"/>
    </font>
    <font>
      <b/>
      <sz val="14"/>
      <name val="Calibri"/>
    </font>
  </fonts>
  <fills count="9">
    <fill>
      <patternFill patternType="none"/>
    </fill>
    <fill>
      <patternFill patternType="gray125"/>
    </fill>
    <fill>
      <patternFill patternType="solid">
        <fgColor rgb="FFE5DFEC"/>
      </patternFill>
    </fill>
    <fill>
      <patternFill patternType="solid">
        <fgColor rgb="FFB8CCE4"/>
      </patternFill>
    </fill>
    <fill>
      <patternFill patternType="solid">
        <fgColor rgb="FFC6D9F0"/>
      </patternFill>
    </fill>
    <fill>
      <patternFill patternType="solid">
        <fgColor rgb="FF8DB3E2"/>
      </patternFill>
    </fill>
    <fill>
      <patternFill patternType="solid">
        <fgColor rgb="FFFFFFCC"/>
      </patternFill>
    </fill>
    <fill>
      <patternFill patternType="solid">
        <fgColor rgb="FFCCFFFF"/>
      </patternFill>
    </fill>
    <fill>
      <patternFill patternType="solid">
        <fgColor rgb="FFD4FAF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/>
    <xf numFmtId="0" fontId="7" fillId="0" borderId="1" xfId="0" applyFont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7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1"/>
  <sheetViews>
    <sheetView workbookViewId="0">
      <pane xSplit="3" ySplit="3" topLeftCell="D4" activePane="bottomRight" state="frozen"/>
      <selection pane="bottomRight"/>
    </sheetView>
  </sheetViews>
  <sheetFormatPr defaultRowHeight="20" outlineLevelRow="0" outlineLevelCol="0" x14ac:dyDescent="55" customHeight="1"/>
  <cols>
    <col min="1" max="1" width="9.29" customWidth="1"/>
    <col min="2" max="2" width="10.14" customWidth="1"/>
    <col min="3" max="3" width="42.29" customWidth="1"/>
    <col min="4" max="4" width="14.86" customWidth="1"/>
    <col min="5" max="5" width="35.14" customWidth="1"/>
    <col min="6" max="6" width="15.86" customWidth="1"/>
    <col min="7" max="7" width="14.57" customWidth="1"/>
    <col min="8" max="8" width="17.57" customWidth="1"/>
    <col min="9" max="9" width="15.71" customWidth="1"/>
    <col min="10" max="12" width="11.57" customWidth="1"/>
    <col min="13" max="13" width="15" customWidth="1"/>
  </cols>
  <sheetData>
    <row r="1" ht="36" customHeight="1" spans="1:13" x14ac:dyDescent="0.25">
      <c r="A1" s="7" t="s">
        <v>40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ht="30" customHeight="1" spans="1:13" x14ac:dyDescent="0.25">
      <c r="A2" s="8" t="s">
        <v>41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ht="28" customHeight="1" spans="1:13" x14ac:dyDescent="0.25">
      <c r="A3" s="9" t="s">
        <v>42</v>
      </c>
      <c r="B3" s="9" t="s">
        <v>43</v>
      </c>
      <c r="C3" s="10" t="s">
        <v>44</v>
      </c>
      <c r="D3" s="9" t="s">
        <v>45</v>
      </c>
      <c r="E3" s="9" t="s">
        <v>46</v>
      </c>
      <c r="F3" s="9" t="s">
        <v>47</v>
      </c>
      <c r="G3" s="9" t="s">
        <v>48</v>
      </c>
      <c r="H3" s="9" t="s">
        <v>49</v>
      </c>
      <c r="I3" s="9" t="s">
        <v>50</v>
      </c>
      <c r="J3" s="11" t="s">
        <v>5</v>
      </c>
      <c r="K3" s="11" t="s">
        <v>6</v>
      </c>
      <c r="L3" s="11" t="s">
        <v>7</v>
      </c>
      <c r="M3" s="9" t="s">
        <v>51</v>
      </c>
    </row>
    <row r="4" ht="24" customHeight="1" spans="1:13" x14ac:dyDescent="0.25">
      <c r="A4" s="12">
        <v>1</v>
      </c>
      <c r="B4" s="13" t="s">
        <v>52</v>
      </c>
      <c r="C4" s="14" t="s">
        <v>11</v>
      </c>
      <c r="D4" s="13" t="s">
        <v>53</v>
      </c>
      <c r="E4" s="15" t="s">
        <v>54</v>
      </c>
      <c r="F4" s="13" t="s">
        <v>55</v>
      </c>
      <c r="G4" s="13" t="s">
        <v>55</v>
      </c>
      <c r="H4" s="13" t="s">
        <v>56</v>
      </c>
      <c r="I4" s="15" t="s">
        <v>57</v>
      </c>
      <c r="J4" s="12" t="s">
        <v>58</v>
      </c>
      <c r="K4" s="12" t="s">
        <v>58</v>
      </c>
      <c r="L4" s="12" t="s">
        <v>58</v>
      </c>
      <c r="M4" s="4">
        <f>COUNTIF(J4:L4,"P")</f>
      </c>
    </row>
    <row r="5" ht="24" customHeight="1" spans="1:13" x14ac:dyDescent="0.25">
      <c r="A5" s="12">
        <v>2</v>
      </c>
      <c r="B5" s="13" t="s">
        <v>59</v>
      </c>
      <c r="C5" s="14" t="s">
        <v>60</v>
      </c>
      <c r="D5" s="13" t="s">
        <v>61</v>
      </c>
      <c r="E5" s="15" t="s">
        <v>62</v>
      </c>
      <c r="F5" s="13" t="s">
        <v>63</v>
      </c>
      <c r="G5" s="13" t="s">
        <v>63</v>
      </c>
      <c r="H5" s="13" t="s">
        <v>64</v>
      </c>
      <c r="I5" s="15" t="s">
        <v>57</v>
      </c>
      <c r="J5" s="12" t="s">
        <v>58</v>
      </c>
      <c r="K5" s="12" t="s">
        <v>58</v>
      </c>
      <c r="L5" s="12" t="s">
        <v>58</v>
      </c>
      <c r="M5" s="4">
        <f>COUNTIF(J5:L5,"P")</f>
      </c>
    </row>
    <row r="6" ht="24" customHeight="1" spans="1:13" x14ac:dyDescent="0.25">
      <c r="A6" s="12">
        <v>3</v>
      </c>
      <c r="B6" s="13" t="s">
        <v>65</v>
      </c>
      <c r="C6" s="14" t="s">
        <v>13</v>
      </c>
      <c r="D6" s="13" t="s">
        <v>66</v>
      </c>
      <c r="E6" s="15" t="s">
        <v>67</v>
      </c>
      <c r="F6" s="13" t="s">
        <v>68</v>
      </c>
      <c r="G6" s="13" t="s">
        <v>68</v>
      </c>
      <c r="H6" s="13" t="s">
        <v>69</v>
      </c>
      <c r="I6" s="15" t="s">
        <v>70</v>
      </c>
      <c r="J6" s="12" t="s">
        <v>58</v>
      </c>
      <c r="K6" s="12" t="s">
        <v>58</v>
      </c>
      <c r="L6" s="12" t="s">
        <v>58</v>
      </c>
      <c r="M6" s="4">
        <f>COUNTIF(J6:L6,"P")</f>
      </c>
    </row>
    <row r="7" ht="24" customHeight="1" spans="1:13" x14ac:dyDescent="0.25">
      <c r="A7" s="12">
        <v>4</v>
      </c>
      <c r="B7" s="13" t="s">
        <v>71</v>
      </c>
      <c r="C7" s="14" t="s">
        <v>15</v>
      </c>
      <c r="D7" s="13" t="s">
        <v>72</v>
      </c>
      <c r="E7" s="15" t="s">
        <v>73</v>
      </c>
      <c r="F7" s="13" t="s">
        <v>74</v>
      </c>
      <c r="G7" s="13" t="s">
        <v>74</v>
      </c>
      <c r="H7" s="13" t="s">
        <v>75</v>
      </c>
      <c r="I7" s="15" t="s">
        <v>57</v>
      </c>
      <c r="J7" s="12" t="s">
        <v>58</v>
      </c>
      <c r="K7" s="12" t="s">
        <v>58</v>
      </c>
      <c r="L7" s="12" t="s">
        <v>58</v>
      </c>
      <c r="M7" s="4">
        <f>COUNTIF(J7:L7,"P")</f>
      </c>
    </row>
    <row r="8" ht="24" customHeight="1" spans="1:13" x14ac:dyDescent="0.25">
      <c r="A8" s="12">
        <v>5</v>
      </c>
      <c r="B8" s="13" t="s">
        <v>76</v>
      </c>
      <c r="C8" s="14" t="s">
        <v>77</v>
      </c>
      <c r="D8" s="13" t="s">
        <v>78</v>
      </c>
      <c r="E8" s="15" t="s">
        <v>79</v>
      </c>
      <c r="F8" s="13" t="s">
        <v>80</v>
      </c>
      <c r="G8" s="13" t="s">
        <v>80</v>
      </c>
      <c r="H8" s="13" t="s">
        <v>81</v>
      </c>
      <c r="I8" s="15" t="s">
        <v>82</v>
      </c>
      <c r="J8" s="12" t="s">
        <v>58</v>
      </c>
      <c r="K8" s="12" t="s">
        <v>58</v>
      </c>
      <c r="L8" s="12" t="s">
        <v>58</v>
      </c>
      <c r="M8" s="4">
        <f>COUNTIF(J8:L8,"P")</f>
      </c>
    </row>
    <row r="9" ht="24" customHeight="1" spans="1:13" x14ac:dyDescent="0.25">
      <c r="A9" s="12">
        <v>6</v>
      </c>
      <c r="B9" s="13" t="s">
        <v>83</v>
      </c>
      <c r="C9" s="14" t="s">
        <v>19</v>
      </c>
      <c r="D9" s="13" t="s">
        <v>84</v>
      </c>
      <c r="E9" s="15" t="s">
        <v>85</v>
      </c>
      <c r="F9" s="13" t="s">
        <v>86</v>
      </c>
      <c r="G9" s="13" t="s">
        <v>86</v>
      </c>
      <c r="H9" s="13" t="s">
        <v>87</v>
      </c>
      <c r="I9" s="15" t="s">
        <v>57</v>
      </c>
      <c r="J9" s="12" t="s">
        <v>58</v>
      </c>
      <c r="K9" s="12" t="s">
        <v>58</v>
      </c>
      <c r="L9" s="12" t="s">
        <v>58</v>
      </c>
      <c r="M9" s="4">
        <f>COUNTIF(J9:L9,"P")</f>
      </c>
    </row>
    <row r="10" ht="24" customHeight="1" spans="1:13" x14ac:dyDescent="0.25">
      <c r="A10" s="12">
        <v>7</v>
      </c>
      <c r="B10" s="13" t="s">
        <v>88</v>
      </c>
      <c r="C10" s="14" t="s">
        <v>89</v>
      </c>
      <c r="D10" s="13" t="s">
        <v>90</v>
      </c>
      <c r="E10" s="15" t="s">
        <v>91</v>
      </c>
      <c r="F10" s="13" t="s">
        <v>92</v>
      </c>
      <c r="G10" s="13" t="s">
        <v>92</v>
      </c>
      <c r="H10" s="13" t="s">
        <v>93</v>
      </c>
      <c r="I10" s="15" t="s">
        <v>57</v>
      </c>
      <c r="J10" s="12" t="s">
        <v>58</v>
      </c>
      <c r="K10" s="12" t="s">
        <v>58</v>
      </c>
      <c r="L10" s="12" t="s">
        <v>58</v>
      </c>
      <c r="M10" s="4">
        <f>COUNTIF(J10:L10,"P")</f>
      </c>
    </row>
    <row r="11" ht="26" customHeight="1" spans="1:13" x14ac:dyDescent="0.25">
      <c r="A11" s="16"/>
      <c r="B11" s="16"/>
      <c r="C11" s="17" t="s">
        <v>51</v>
      </c>
      <c r="D11" s="16"/>
      <c r="E11" s="16"/>
      <c r="F11" s="16"/>
      <c r="G11" s="16"/>
      <c r="H11" s="16"/>
      <c r="I11" s="16"/>
      <c r="J11" s="18">
        <f>COUNTIF(J4:J10,"P")</f>
      </c>
      <c r="K11" s="18">
        <f>COUNTIF(K4:K10,"P")</f>
      </c>
      <c r="L11" s="18">
        <f>COUNTIF(L4:L10,"P")</f>
      </c>
      <c r="M11" s="18">
        <f>SUM(M4:M10)</f>
      </c>
    </row>
  </sheetData>
  <mergeCells count="2">
    <mergeCell ref="A1:M1"/>
    <mergeCell ref="A2:M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8"/>
  <sheetViews>
    <sheetView workbookViewId="0">
      <pane xSplit="3" ySplit="3" topLeftCell="D4" activePane="bottomRight" state="frozen"/>
      <selection pane="bottomRight"/>
    </sheetView>
  </sheetViews>
  <sheetFormatPr defaultRowHeight="20" outlineLevelRow="0" outlineLevelCol="0" x14ac:dyDescent="55" customHeight="1"/>
  <cols>
    <col min="1" max="1" width="9.29" customWidth="1"/>
    <col min="2" max="2" width="10.14" customWidth="1"/>
    <col min="3" max="3" width="42.29" customWidth="1"/>
    <col min="4" max="4" width="14.86" customWidth="1"/>
    <col min="5" max="5" width="35.14" customWidth="1"/>
    <col min="6" max="6" width="15.86" customWidth="1"/>
    <col min="7" max="7" width="14.57" customWidth="1"/>
    <col min="8" max="8" width="17.57" customWidth="1"/>
    <col min="9" max="9" width="15.71" customWidth="1"/>
    <col min="10" max="12" width="11.57" customWidth="1"/>
    <col min="13" max="13" width="15" customWidth="1"/>
  </cols>
  <sheetData>
    <row r="1" ht="36" customHeight="1" spans="1:13" x14ac:dyDescent="0.25">
      <c r="A1" s="7" t="s">
        <v>40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ht="30" customHeight="1" spans="1:13" x14ac:dyDescent="0.25">
      <c r="A2" s="8" t="s">
        <v>94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ht="28" customHeight="1" spans="1:13" x14ac:dyDescent="0.25">
      <c r="A3" s="9" t="s">
        <v>42</v>
      </c>
      <c r="B3" s="9" t="s">
        <v>43</v>
      </c>
      <c r="C3" s="10" t="s">
        <v>44</v>
      </c>
      <c r="D3" s="9" t="s">
        <v>45</v>
      </c>
      <c r="E3" s="9" t="s">
        <v>46</v>
      </c>
      <c r="F3" s="9" t="s">
        <v>47</v>
      </c>
      <c r="G3" s="9" t="s">
        <v>48</v>
      </c>
      <c r="H3" s="9" t="s">
        <v>49</v>
      </c>
      <c r="I3" s="9" t="s">
        <v>50</v>
      </c>
      <c r="J3" s="11" t="s">
        <v>5</v>
      </c>
      <c r="K3" s="11" t="s">
        <v>6</v>
      </c>
      <c r="L3" s="11" t="s">
        <v>7</v>
      </c>
      <c r="M3" s="9" t="s">
        <v>51</v>
      </c>
    </row>
    <row r="4" ht="24" customHeight="1" spans="1:13" x14ac:dyDescent="0.25">
      <c r="A4" s="12">
        <v>1</v>
      </c>
      <c r="B4" s="13" t="s">
        <v>95</v>
      </c>
      <c r="C4" s="14" t="s">
        <v>96</v>
      </c>
      <c r="D4" s="13" t="s">
        <v>97</v>
      </c>
      <c r="E4" s="15" t="s">
        <v>98</v>
      </c>
      <c r="F4" s="13" t="s">
        <v>99</v>
      </c>
      <c r="G4" s="13" t="s">
        <v>99</v>
      </c>
      <c r="H4" s="13" t="s">
        <v>100</v>
      </c>
      <c r="I4" s="15" t="s">
        <v>101</v>
      </c>
      <c r="J4" s="12" t="s">
        <v>58</v>
      </c>
      <c r="K4" s="12" t="s">
        <v>58</v>
      </c>
      <c r="L4" s="12" t="s">
        <v>58</v>
      </c>
      <c r="M4" s="4">
        <f>COUNTIF(J4:L4,"P")</f>
      </c>
    </row>
    <row r="5" ht="24" customHeight="1" spans="1:13" x14ac:dyDescent="0.25">
      <c r="A5" s="12">
        <v>2</v>
      </c>
      <c r="B5" s="13" t="s">
        <v>102</v>
      </c>
      <c r="C5" s="14" t="s">
        <v>103</v>
      </c>
      <c r="D5" s="13" t="s">
        <v>104</v>
      </c>
      <c r="E5" s="15" t="s">
        <v>105</v>
      </c>
      <c r="F5" s="13" t="s">
        <v>106</v>
      </c>
      <c r="G5" s="13" t="s">
        <v>106</v>
      </c>
      <c r="H5" s="13" t="s">
        <v>107</v>
      </c>
      <c r="I5" s="15" t="s">
        <v>108</v>
      </c>
      <c r="J5" s="12" t="s">
        <v>58</v>
      </c>
      <c r="K5" s="12" t="s">
        <v>58</v>
      </c>
      <c r="L5" s="12" t="s">
        <v>58</v>
      </c>
      <c r="M5" s="4">
        <f>COUNTIF(J5:L5,"P")</f>
      </c>
    </row>
    <row r="6" ht="24" customHeight="1" spans="1:13" x14ac:dyDescent="0.25">
      <c r="A6" s="12">
        <v>3</v>
      </c>
      <c r="B6" s="13" t="s">
        <v>109</v>
      </c>
      <c r="C6" s="14" t="s">
        <v>110</v>
      </c>
      <c r="D6" s="13" t="s">
        <v>111</v>
      </c>
      <c r="E6" s="15" t="s">
        <v>112</v>
      </c>
      <c r="F6" s="13" t="s">
        <v>113</v>
      </c>
      <c r="G6" s="13" t="s">
        <v>113</v>
      </c>
      <c r="H6" s="13" t="s">
        <v>114</v>
      </c>
      <c r="I6" s="15" t="s">
        <v>115</v>
      </c>
      <c r="J6" s="12" t="s">
        <v>58</v>
      </c>
      <c r="K6" s="12" t="s">
        <v>58</v>
      </c>
      <c r="L6" s="12" t="s">
        <v>58</v>
      </c>
      <c r="M6" s="4">
        <f>COUNTIF(J6:L6,"P")</f>
      </c>
    </row>
    <row r="7" ht="24" customHeight="1" spans="1:13" x14ac:dyDescent="0.25">
      <c r="A7" s="12">
        <v>4</v>
      </c>
      <c r="B7" s="13" t="s">
        <v>58</v>
      </c>
      <c r="C7" s="14" t="s">
        <v>116</v>
      </c>
      <c r="D7" s="13" t="s">
        <v>117</v>
      </c>
      <c r="E7" s="15" t="s">
        <v>118</v>
      </c>
      <c r="F7" s="13" t="s">
        <v>119</v>
      </c>
      <c r="G7" s="13" t="s">
        <v>119</v>
      </c>
      <c r="H7" s="13" t="s">
        <v>58</v>
      </c>
      <c r="I7" s="15" t="s">
        <v>120</v>
      </c>
      <c r="J7" s="12" t="s">
        <v>58</v>
      </c>
      <c r="K7" s="12" t="s">
        <v>58</v>
      </c>
      <c r="L7" s="12" t="s">
        <v>58</v>
      </c>
      <c r="M7" s="4">
        <f>COUNTIF(J7:L7,"P")</f>
      </c>
    </row>
    <row r="8" ht="24" customHeight="1" spans="1:13" x14ac:dyDescent="0.25">
      <c r="A8" s="12">
        <v>5</v>
      </c>
      <c r="B8" s="13" t="s">
        <v>58</v>
      </c>
      <c r="C8" s="14" t="s">
        <v>121</v>
      </c>
      <c r="D8" s="13" t="s">
        <v>58</v>
      </c>
      <c r="E8" s="15" t="s">
        <v>58</v>
      </c>
      <c r="F8" s="13" t="s">
        <v>122</v>
      </c>
      <c r="G8" s="13" t="s">
        <v>58</v>
      </c>
      <c r="H8" s="13" t="s">
        <v>123</v>
      </c>
      <c r="I8" s="15" t="s">
        <v>58</v>
      </c>
      <c r="J8" s="12" t="s">
        <v>58</v>
      </c>
      <c r="K8" s="12" t="s">
        <v>58</v>
      </c>
      <c r="L8" s="12" t="s">
        <v>58</v>
      </c>
      <c r="M8" s="4">
        <f>COUNTIF(J8:L8,"P")</f>
      </c>
    </row>
    <row r="9" ht="24" customHeight="1" spans="1:13" x14ac:dyDescent="0.25">
      <c r="A9" s="12">
        <v>6</v>
      </c>
      <c r="B9" s="13" t="s">
        <v>58</v>
      </c>
      <c r="C9" s="14" t="s">
        <v>124</v>
      </c>
      <c r="D9" s="13" t="s">
        <v>125</v>
      </c>
      <c r="E9" s="15" t="s">
        <v>126</v>
      </c>
      <c r="F9" s="13" t="s">
        <v>127</v>
      </c>
      <c r="G9" s="13" t="s">
        <v>127</v>
      </c>
      <c r="H9" s="13" t="s">
        <v>58</v>
      </c>
      <c r="I9" s="15" t="s">
        <v>128</v>
      </c>
      <c r="J9" s="12" t="s">
        <v>58</v>
      </c>
      <c r="K9" s="12" t="s">
        <v>58</v>
      </c>
      <c r="L9" s="12" t="s">
        <v>58</v>
      </c>
      <c r="M9" s="4">
        <f>COUNTIF(J9:L9,"P")</f>
      </c>
    </row>
    <row r="10" ht="24" customHeight="1" spans="1:13" x14ac:dyDescent="0.25">
      <c r="A10" s="12">
        <v>7</v>
      </c>
      <c r="B10" s="13" t="s">
        <v>58</v>
      </c>
      <c r="C10" s="14" t="s">
        <v>129</v>
      </c>
      <c r="D10" s="13" t="s">
        <v>130</v>
      </c>
      <c r="E10" s="15" t="s">
        <v>131</v>
      </c>
      <c r="F10" s="13" t="s">
        <v>132</v>
      </c>
      <c r="G10" s="13" t="s">
        <v>132</v>
      </c>
      <c r="H10" s="13" t="s">
        <v>133</v>
      </c>
      <c r="I10" s="15" t="s">
        <v>134</v>
      </c>
      <c r="J10" s="12" t="s">
        <v>58</v>
      </c>
      <c r="K10" s="12" t="s">
        <v>58</v>
      </c>
      <c r="L10" s="12" t="s">
        <v>58</v>
      </c>
      <c r="M10" s="4">
        <f>COUNTIF(J10:L10,"P")</f>
      </c>
    </row>
    <row r="11" ht="24" customHeight="1" spans="1:13" x14ac:dyDescent="0.25">
      <c r="A11" s="12">
        <v>8</v>
      </c>
      <c r="B11" s="13" t="s">
        <v>58</v>
      </c>
      <c r="C11" s="14" t="s">
        <v>135</v>
      </c>
      <c r="D11" s="13" t="s">
        <v>136</v>
      </c>
      <c r="E11" s="15" t="s">
        <v>137</v>
      </c>
      <c r="F11" s="13" t="s">
        <v>138</v>
      </c>
      <c r="G11" s="13" t="s">
        <v>138</v>
      </c>
      <c r="H11" s="13" t="s">
        <v>139</v>
      </c>
      <c r="I11" s="15" t="s">
        <v>115</v>
      </c>
      <c r="J11" s="12" t="s">
        <v>58</v>
      </c>
      <c r="K11" s="12" t="s">
        <v>58</v>
      </c>
      <c r="L11" s="12" t="s">
        <v>58</v>
      </c>
      <c r="M11" s="4">
        <f>COUNTIF(J11:L11,"P")</f>
      </c>
    </row>
    <row r="12" ht="24" customHeight="1" spans="1:13" x14ac:dyDescent="0.25">
      <c r="A12" s="12">
        <v>9</v>
      </c>
      <c r="B12" s="13" t="s">
        <v>58</v>
      </c>
      <c r="C12" s="14" t="s">
        <v>140</v>
      </c>
      <c r="D12" s="13" t="s">
        <v>141</v>
      </c>
      <c r="E12" s="15" t="s">
        <v>142</v>
      </c>
      <c r="F12" s="13" t="s">
        <v>143</v>
      </c>
      <c r="G12" s="13" t="s">
        <v>143</v>
      </c>
      <c r="H12" s="13" t="s">
        <v>144</v>
      </c>
      <c r="I12" s="15" t="s">
        <v>145</v>
      </c>
      <c r="J12" s="12" t="s">
        <v>58</v>
      </c>
      <c r="K12" s="12" t="s">
        <v>58</v>
      </c>
      <c r="L12" s="12" t="s">
        <v>58</v>
      </c>
      <c r="M12" s="4">
        <f>COUNTIF(J12:L12,"P")</f>
      </c>
    </row>
    <row r="13" ht="24" customHeight="1" spans="1:13" x14ac:dyDescent="0.25">
      <c r="A13" s="12">
        <v>10</v>
      </c>
      <c r="B13" s="13" t="s">
        <v>58</v>
      </c>
      <c r="C13" s="14" t="s">
        <v>146</v>
      </c>
      <c r="D13" s="13" t="s">
        <v>147</v>
      </c>
      <c r="E13" s="15" t="s">
        <v>148</v>
      </c>
      <c r="F13" s="13" t="s">
        <v>149</v>
      </c>
      <c r="G13" s="13" t="s">
        <v>58</v>
      </c>
      <c r="H13" s="13" t="s">
        <v>150</v>
      </c>
      <c r="I13" s="15" t="s">
        <v>145</v>
      </c>
      <c r="J13" s="12" t="s">
        <v>58</v>
      </c>
      <c r="K13" s="12" t="s">
        <v>58</v>
      </c>
      <c r="L13" s="12" t="s">
        <v>58</v>
      </c>
      <c r="M13" s="4">
        <f>COUNTIF(J13:L13,"P")</f>
      </c>
    </row>
    <row r="14" ht="24" customHeight="1" spans="1:13" x14ac:dyDescent="0.25">
      <c r="A14" s="12">
        <v>11</v>
      </c>
      <c r="B14" s="13" t="s">
        <v>58</v>
      </c>
      <c r="C14" s="14" t="s">
        <v>151</v>
      </c>
      <c r="D14" s="13" t="s">
        <v>152</v>
      </c>
      <c r="E14" s="15" t="s">
        <v>153</v>
      </c>
      <c r="F14" s="13" t="s">
        <v>154</v>
      </c>
      <c r="G14" s="13" t="s">
        <v>58</v>
      </c>
      <c r="H14" s="13" t="s">
        <v>58</v>
      </c>
      <c r="I14" s="15" t="s">
        <v>145</v>
      </c>
      <c r="J14" s="12" t="s">
        <v>58</v>
      </c>
      <c r="K14" s="12" t="s">
        <v>58</v>
      </c>
      <c r="L14" s="12" t="s">
        <v>58</v>
      </c>
      <c r="M14" s="4">
        <f>COUNTIF(J14:L14,"P")</f>
      </c>
    </row>
    <row r="15" ht="24" customHeight="1" spans="1:13" x14ac:dyDescent="0.25">
      <c r="A15" s="12">
        <v>12</v>
      </c>
      <c r="B15" s="13" t="s">
        <v>58</v>
      </c>
      <c r="C15" s="14" t="s">
        <v>155</v>
      </c>
      <c r="D15" s="13" t="s">
        <v>156</v>
      </c>
      <c r="E15" s="15" t="s">
        <v>157</v>
      </c>
      <c r="F15" s="13" t="s">
        <v>158</v>
      </c>
      <c r="G15" s="13" t="s">
        <v>58</v>
      </c>
      <c r="H15" s="13" t="s">
        <v>58</v>
      </c>
      <c r="I15" s="15" t="s">
        <v>159</v>
      </c>
      <c r="J15" s="12" t="s">
        <v>58</v>
      </c>
      <c r="K15" s="12" t="s">
        <v>58</v>
      </c>
      <c r="L15" s="12" t="s">
        <v>58</v>
      </c>
      <c r="M15" s="4">
        <f>COUNTIF(J15:L15,"P")</f>
      </c>
    </row>
    <row r="16" ht="24" customHeight="1" spans="1:13" x14ac:dyDescent="0.25">
      <c r="A16" s="12">
        <v>13</v>
      </c>
      <c r="B16" s="13" t="s">
        <v>58</v>
      </c>
      <c r="C16" s="14" t="s">
        <v>160</v>
      </c>
      <c r="D16" s="13" t="s">
        <v>58</v>
      </c>
      <c r="E16" s="15" t="s">
        <v>58</v>
      </c>
      <c r="F16" s="13" t="s">
        <v>161</v>
      </c>
      <c r="G16" s="13" t="s">
        <v>58</v>
      </c>
      <c r="H16" s="13" t="s">
        <v>58</v>
      </c>
      <c r="I16" s="15" t="s">
        <v>159</v>
      </c>
      <c r="J16" s="12" t="s">
        <v>58</v>
      </c>
      <c r="K16" s="12" t="s">
        <v>58</v>
      </c>
      <c r="L16" s="12" t="s">
        <v>58</v>
      </c>
      <c r="M16" s="4">
        <f>COUNTIF(J16:L16,"P")</f>
      </c>
    </row>
    <row r="17" ht="24" customHeight="1" spans="1:13" x14ac:dyDescent="0.25">
      <c r="A17" s="12">
        <v>14</v>
      </c>
      <c r="B17" s="13" t="s">
        <v>58</v>
      </c>
      <c r="C17" s="14" t="s">
        <v>162</v>
      </c>
      <c r="D17" s="13" t="s">
        <v>58</v>
      </c>
      <c r="E17" s="15" t="s">
        <v>163</v>
      </c>
      <c r="F17" s="13" t="s">
        <v>164</v>
      </c>
      <c r="G17" s="13" t="s">
        <v>164</v>
      </c>
      <c r="H17" s="13" t="s">
        <v>58</v>
      </c>
      <c r="I17" s="15" t="s">
        <v>165</v>
      </c>
      <c r="J17" s="12" t="s">
        <v>58</v>
      </c>
      <c r="K17" s="12" t="s">
        <v>58</v>
      </c>
      <c r="L17" s="12" t="s">
        <v>58</v>
      </c>
      <c r="M17" s="4">
        <f>COUNTIF(J17:L17,"P")</f>
      </c>
    </row>
    <row r="18" ht="26" customHeight="1" spans="1:13" x14ac:dyDescent="0.25">
      <c r="A18" s="16"/>
      <c r="B18" s="16"/>
      <c r="C18" s="17" t="s">
        <v>51</v>
      </c>
      <c r="D18" s="16"/>
      <c r="E18" s="16"/>
      <c r="F18" s="16"/>
      <c r="G18" s="16"/>
      <c r="H18" s="16"/>
      <c r="I18" s="16"/>
      <c r="J18" s="18">
        <f>COUNTIF(J4:J17,"P")</f>
      </c>
      <c r="K18" s="18">
        <f>COUNTIF(K4:K17,"P")</f>
      </c>
      <c r="L18" s="18">
        <f>COUNTIF(L4:L17,"P")</f>
      </c>
      <c r="M18" s="18">
        <f>SUM(M4:M17)</f>
      </c>
    </row>
  </sheetData>
  <mergeCells count="2">
    <mergeCell ref="A1:M1"/>
    <mergeCell ref="A2:M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5"/>
  <sheetViews>
    <sheetView workbookViewId="0">
      <pane xSplit="3" ySplit="3" topLeftCell="D4" activePane="bottomRight" state="frozen"/>
      <selection pane="bottomRight"/>
    </sheetView>
  </sheetViews>
  <sheetFormatPr defaultRowHeight="20" outlineLevelRow="0" outlineLevelCol="0" x14ac:dyDescent="55" customHeight="1"/>
  <cols>
    <col min="1" max="1" width="9.29" customWidth="1"/>
    <col min="2" max="2" width="10.14" customWidth="1"/>
    <col min="3" max="3" width="42.29" customWidth="1"/>
    <col min="4" max="4" width="14.86" customWidth="1"/>
    <col min="5" max="5" width="35.14" customWidth="1"/>
    <col min="6" max="6" width="15.86" customWidth="1"/>
    <col min="7" max="7" width="14.57" customWidth="1"/>
    <col min="8" max="8" width="17.57" customWidth="1"/>
    <col min="9" max="9" width="15.71" customWidth="1"/>
    <col min="10" max="12" width="11.57" customWidth="1"/>
    <col min="13" max="13" width="15" customWidth="1"/>
  </cols>
  <sheetData>
    <row r="1" ht="36" customHeight="1" spans="1:13" x14ac:dyDescent="0.25">
      <c r="A1" s="7" t="s">
        <v>40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ht="30" customHeight="1" spans="1:13" x14ac:dyDescent="0.25">
      <c r="A2" s="8" t="s">
        <v>166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ht="28" customHeight="1" spans="1:13" x14ac:dyDescent="0.25">
      <c r="A3" s="9" t="s">
        <v>42</v>
      </c>
      <c r="B3" s="9" t="s">
        <v>43</v>
      </c>
      <c r="C3" s="10" t="s">
        <v>44</v>
      </c>
      <c r="D3" s="9" t="s">
        <v>45</v>
      </c>
      <c r="E3" s="9" t="s">
        <v>46</v>
      </c>
      <c r="F3" s="9" t="s">
        <v>47</v>
      </c>
      <c r="G3" s="9" t="s">
        <v>48</v>
      </c>
      <c r="H3" s="9" t="s">
        <v>49</v>
      </c>
      <c r="I3" s="9" t="s">
        <v>50</v>
      </c>
      <c r="J3" s="11" t="s">
        <v>5</v>
      </c>
      <c r="K3" s="11" t="s">
        <v>6</v>
      </c>
      <c r="L3" s="11" t="s">
        <v>7</v>
      </c>
      <c r="M3" s="9" t="s">
        <v>51</v>
      </c>
    </row>
    <row r="4" ht="24" customHeight="1" spans="1:13" x14ac:dyDescent="0.25">
      <c r="A4" s="12">
        <v>1</v>
      </c>
      <c r="B4" s="13" t="s">
        <v>167</v>
      </c>
      <c r="C4" s="14" t="s">
        <v>168</v>
      </c>
      <c r="D4" s="13" t="s">
        <v>169</v>
      </c>
      <c r="E4" s="15" t="s">
        <v>170</v>
      </c>
      <c r="F4" s="13" t="s">
        <v>171</v>
      </c>
      <c r="G4" s="13" t="s">
        <v>171</v>
      </c>
      <c r="H4" s="13" t="s">
        <v>172</v>
      </c>
      <c r="I4" s="15" t="s">
        <v>173</v>
      </c>
      <c r="J4" s="12" t="s">
        <v>58</v>
      </c>
      <c r="K4" s="12" t="s">
        <v>58</v>
      </c>
      <c r="L4" s="12" t="s">
        <v>58</v>
      </c>
      <c r="M4" s="4">
        <f>COUNTIF(J4:L4,"P")</f>
      </c>
    </row>
    <row r="5" ht="24" customHeight="1" spans="1:13" x14ac:dyDescent="0.25">
      <c r="A5" s="12">
        <v>2</v>
      </c>
      <c r="B5" s="13" t="s">
        <v>174</v>
      </c>
      <c r="C5" s="14" t="s">
        <v>175</v>
      </c>
      <c r="D5" s="13" t="s">
        <v>176</v>
      </c>
      <c r="E5" s="15" t="s">
        <v>177</v>
      </c>
      <c r="F5" s="13" t="s">
        <v>178</v>
      </c>
      <c r="G5" s="13" t="s">
        <v>179</v>
      </c>
      <c r="H5" s="13" t="s">
        <v>180</v>
      </c>
      <c r="I5" s="15" t="s">
        <v>181</v>
      </c>
      <c r="J5" s="12" t="s">
        <v>58</v>
      </c>
      <c r="K5" s="12" t="s">
        <v>58</v>
      </c>
      <c r="L5" s="12" t="s">
        <v>58</v>
      </c>
      <c r="M5" s="4">
        <f>COUNTIF(J5:L5,"P")</f>
      </c>
    </row>
    <row r="6" ht="24" customHeight="1" spans="1:13" x14ac:dyDescent="0.25">
      <c r="A6" s="12">
        <v>3</v>
      </c>
      <c r="B6" s="13" t="s">
        <v>182</v>
      </c>
      <c r="C6" s="14" t="s">
        <v>183</v>
      </c>
      <c r="D6" s="13" t="s">
        <v>184</v>
      </c>
      <c r="E6" s="15" t="s">
        <v>185</v>
      </c>
      <c r="F6" s="13" t="s">
        <v>186</v>
      </c>
      <c r="G6" s="13" t="s">
        <v>187</v>
      </c>
      <c r="H6" s="13" t="s">
        <v>186</v>
      </c>
      <c r="I6" s="15" t="s">
        <v>188</v>
      </c>
      <c r="J6" s="12" t="s">
        <v>58</v>
      </c>
      <c r="K6" s="12" t="s">
        <v>58</v>
      </c>
      <c r="L6" s="12" t="s">
        <v>58</v>
      </c>
      <c r="M6" s="4">
        <f>COUNTIF(J6:L6,"P")</f>
      </c>
    </row>
    <row r="7" ht="24" customHeight="1" spans="1:13" x14ac:dyDescent="0.25">
      <c r="A7" s="12">
        <v>4</v>
      </c>
      <c r="B7" s="13" t="s">
        <v>58</v>
      </c>
      <c r="C7" s="14" t="s">
        <v>189</v>
      </c>
      <c r="D7" s="13" t="s">
        <v>190</v>
      </c>
      <c r="E7" s="15" t="s">
        <v>170</v>
      </c>
      <c r="F7" s="13" t="s">
        <v>172</v>
      </c>
      <c r="G7" s="13" t="s">
        <v>172</v>
      </c>
      <c r="H7" s="13" t="s">
        <v>172</v>
      </c>
      <c r="I7" s="15" t="s">
        <v>191</v>
      </c>
      <c r="J7" s="12" t="s">
        <v>58</v>
      </c>
      <c r="K7" s="12" t="s">
        <v>58</v>
      </c>
      <c r="L7" s="12" t="s">
        <v>58</v>
      </c>
      <c r="M7" s="4">
        <f>COUNTIF(J7:L7,"P")</f>
      </c>
    </row>
    <row r="8" ht="24" customHeight="1" spans="1:13" x14ac:dyDescent="0.25">
      <c r="A8" s="12">
        <v>5</v>
      </c>
      <c r="B8" s="13" t="s">
        <v>58</v>
      </c>
      <c r="C8" s="14" t="s">
        <v>192</v>
      </c>
      <c r="D8" s="13" t="s">
        <v>193</v>
      </c>
      <c r="E8" s="15" t="s">
        <v>194</v>
      </c>
      <c r="F8" s="13" t="s">
        <v>195</v>
      </c>
      <c r="G8" s="13" t="s">
        <v>195</v>
      </c>
      <c r="H8" s="13" t="s">
        <v>196</v>
      </c>
      <c r="I8" s="15" t="s">
        <v>197</v>
      </c>
      <c r="J8" s="12" t="s">
        <v>58</v>
      </c>
      <c r="K8" s="12" t="s">
        <v>58</v>
      </c>
      <c r="L8" s="12" t="s">
        <v>58</v>
      </c>
      <c r="M8" s="4">
        <f>COUNTIF(J8:L8,"P")</f>
      </c>
    </row>
    <row r="9" ht="24" customHeight="1" spans="1:13" x14ac:dyDescent="0.25">
      <c r="A9" s="12">
        <v>6</v>
      </c>
      <c r="B9" s="13" t="s">
        <v>58</v>
      </c>
      <c r="C9" s="14" t="s">
        <v>198</v>
      </c>
      <c r="D9" s="13" t="s">
        <v>58</v>
      </c>
      <c r="E9" s="15" t="s">
        <v>199</v>
      </c>
      <c r="F9" s="13" t="s">
        <v>200</v>
      </c>
      <c r="G9" s="13" t="s">
        <v>58</v>
      </c>
      <c r="H9" s="13" t="s">
        <v>58</v>
      </c>
      <c r="I9" s="15" t="s">
        <v>159</v>
      </c>
      <c r="J9" s="12" t="s">
        <v>58</v>
      </c>
      <c r="K9" s="12" t="s">
        <v>58</v>
      </c>
      <c r="L9" s="12" t="s">
        <v>58</v>
      </c>
      <c r="M9" s="4">
        <f>COUNTIF(J9:L9,"P")</f>
      </c>
    </row>
    <row r="10" ht="24" customHeight="1" spans="1:13" x14ac:dyDescent="0.25">
      <c r="A10" s="12">
        <v>7</v>
      </c>
      <c r="B10" s="13" t="s">
        <v>58</v>
      </c>
      <c r="C10" s="14" t="s">
        <v>201</v>
      </c>
      <c r="D10" s="13" t="s">
        <v>58</v>
      </c>
      <c r="E10" s="15" t="s">
        <v>202</v>
      </c>
      <c r="F10" s="13" t="s">
        <v>203</v>
      </c>
      <c r="G10" s="13" t="s">
        <v>58</v>
      </c>
      <c r="H10" s="13" t="s">
        <v>58</v>
      </c>
      <c r="I10" s="15" t="s">
        <v>159</v>
      </c>
      <c r="J10" s="12" t="s">
        <v>58</v>
      </c>
      <c r="K10" s="12" t="s">
        <v>58</v>
      </c>
      <c r="L10" s="12" t="s">
        <v>58</v>
      </c>
      <c r="M10" s="4">
        <f>COUNTIF(J10:L10,"P")</f>
      </c>
    </row>
    <row r="11" ht="24" customHeight="1" spans="1:13" x14ac:dyDescent="0.25">
      <c r="A11" s="12">
        <v>8</v>
      </c>
      <c r="B11" s="13" t="s">
        <v>58</v>
      </c>
      <c r="C11" s="14" t="s">
        <v>204</v>
      </c>
      <c r="D11" s="13" t="s">
        <v>205</v>
      </c>
      <c r="E11" s="15" t="s">
        <v>206</v>
      </c>
      <c r="F11" s="13" t="s">
        <v>207</v>
      </c>
      <c r="G11" s="13" t="s">
        <v>207</v>
      </c>
      <c r="H11" s="13" t="s">
        <v>208</v>
      </c>
      <c r="I11" s="15" t="s">
        <v>209</v>
      </c>
      <c r="J11" s="12" t="s">
        <v>58</v>
      </c>
      <c r="K11" s="12" t="s">
        <v>58</v>
      </c>
      <c r="L11" s="12" t="s">
        <v>58</v>
      </c>
      <c r="M11" s="4">
        <f>COUNTIF(J11:L11,"P")</f>
      </c>
    </row>
    <row r="12" ht="24" customHeight="1" spans="1:13" x14ac:dyDescent="0.25">
      <c r="A12" s="12">
        <v>9</v>
      </c>
      <c r="B12" s="13" t="s">
        <v>58</v>
      </c>
      <c r="C12" s="14" t="s">
        <v>210</v>
      </c>
      <c r="D12" s="13" t="s">
        <v>58</v>
      </c>
      <c r="E12" s="15" t="s">
        <v>211</v>
      </c>
      <c r="F12" s="13" t="s">
        <v>212</v>
      </c>
      <c r="G12" s="13" t="s">
        <v>58</v>
      </c>
      <c r="H12" s="13" t="s">
        <v>58</v>
      </c>
      <c r="I12" s="15" t="s">
        <v>213</v>
      </c>
      <c r="J12" s="12" t="s">
        <v>58</v>
      </c>
      <c r="K12" s="12" t="s">
        <v>58</v>
      </c>
      <c r="L12" s="12" t="s">
        <v>58</v>
      </c>
      <c r="M12" s="4">
        <f>COUNTIF(J12:L12,"P")</f>
      </c>
    </row>
    <row r="13" ht="24" customHeight="1" spans="1:13" x14ac:dyDescent="0.25">
      <c r="A13" s="12">
        <v>10</v>
      </c>
      <c r="B13" s="13" t="s">
        <v>58</v>
      </c>
      <c r="C13" s="14" t="s">
        <v>214</v>
      </c>
      <c r="D13" s="13" t="s">
        <v>58</v>
      </c>
      <c r="E13" s="15" t="s">
        <v>215</v>
      </c>
      <c r="F13" s="13" t="s">
        <v>216</v>
      </c>
      <c r="G13" s="13" t="s">
        <v>58</v>
      </c>
      <c r="H13" s="13" t="s">
        <v>58</v>
      </c>
      <c r="I13" s="15" t="s">
        <v>213</v>
      </c>
      <c r="J13" s="12" t="s">
        <v>58</v>
      </c>
      <c r="K13" s="12" t="s">
        <v>58</v>
      </c>
      <c r="L13" s="12" t="s">
        <v>58</v>
      </c>
      <c r="M13" s="4">
        <f>COUNTIF(J13:L13,"P")</f>
      </c>
    </row>
    <row r="14" ht="24" customHeight="1" spans="1:13" x14ac:dyDescent="0.25">
      <c r="A14" s="12">
        <v>11</v>
      </c>
      <c r="B14" s="13" t="s">
        <v>58</v>
      </c>
      <c r="C14" s="14" t="s">
        <v>217</v>
      </c>
      <c r="D14" s="13" t="s">
        <v>58</v>
      </c>
      <c r="E14" s="15" t="s">
        <v>218</v>
      </c>
      <c r="F14" s="13" t="s">
        <v>219</v>
      </c>
      <c r="G14" s="13" t="s">
        <v>58</v>
      </c>
      <c r="H14" s="13" t="s">
        <v>58</v>
      </c>
      <c r="I14" s="15" t="s">
        <v>58</v>
      </c>
      <c r="J14" s="12" t="s">
        <v>58</v>
      </c>
      <c r="K14" s="12" t="s">
        <v>58</v>
      </c>
      <c r="L14" s="12" t="s">
        <v>58</v>
      </c>
      <c r="M14" s="4">
        <f>COUNTIF(J14:L14,"P")</f>
      </c>
    </row>
    <row r="15" ht="26" customHeight="1" spans="1:13" x14ac:dyDescent="0.25">
      <c r="A15" s="16"/>
      <c r="B15" s="16"/>
      <c r="C15" s="17" t="s">
        <v>51</v>
      </c>
      <c r="D15" s="16"/>
      <c r="E15" s="16"/>
      <c r="F15" s="16"/>
      <c r="G15" s="16"/>
      <c r="H15" s="16"/>
      <c r="I15" s="16"/>
      <c r="J15" s="18">
        <f>COUNTIF(J4:J14,"P")</f>
      </c>
      <c r="K15" s="18">
        <f>COUNTIF(K4:K14,"P")</f>
      </c>
      <c r="L15" s="18">
        <f>COUNTIF(L4:L14,"P")</f>
      </c>
      <c r="M15" s="18">
        <f>SUM(M4:M14)</f>
      </c>
    </row>
  </sheetData>
  <mergeCells count="2">
    <mergeCell ref="A1:M1"/>
    <mergeCell ref="A2:M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"/>
  <sheetViews>
    <sheetView workbookViewId="0">
      <pane xSplit="3" ySplit="3" topLeftCell="D4" activePane="bottomRight" state="frozen"/>
      <selection pane="bottomRight"/>
    </sheetView>
  </sheetViews>
  <sheetFormatPr defaultRowHeight="20" outlineLevelRow="0" outlineLevelCol="0" x14ac:dyDescent="55" customHeight="1"/>
  <cols>
    <col min="1" max="1" width="9.29" customWidth="1"/>
    <col min="2" max="2" width="10.14" customWidth="1"/>
    <col min="3" max="3" width="42.29" customWidth="1"/>
    <col min="4" max="4" width="14.86" customWidth="1"/>
    <col min="5" max="5" width="35.14" customWidth="1"/>
    <col min="6" max="6" width="15.86" customWidth="1"/>
    <col min="7" max="7" width="14.57" customWidth="1"/>
    <col min="8" max="8" width="17.57" customWidth="1"/>
    <col min="9" max="9" width="15.71" customWidth="1"/>
    <col min="10" max="12" width="11.57" customWidth="1"/>
    <col min="13" max="13" width="15" customWidth="1"/>
  </cols>
  <sheetData>
    <row r="1" ht="36" customHeight="1" spans="1:13" x14ac:dyDescent="0.25">
      <c r="A1" s="7" t="s">
        <v>40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ht="30" customHeight="1" spans="1:13" x14ac:dyDescent="0.25">
      <c r="A2" s="8" t="s">
        <v>220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ht="28" customHeight="1" spans="1:13" x14ac:dyDescent="0.25">
      <c r="A3" s="9" t="s">
        <v>42</v>
      </c>
      <c r="B3" s="9" t="s">
        <v>43</v>
      </c>
      <c r="C3" s="10" t="s">
        <v>44</v>
      </c>
      <c r="D3" s="9" t="s">
        <v>45</v>
      </c>
      <c r="E3" s="9" t="s">
        <v>46</v>
      </c>
      <c r="F3" s="9" t="s">
        <v>47</v>
      </c>
      <c r="G3" s="9" t="s">
        <v>48</v>
      </c>
      <c r="H3" s="9" t="s">
        <v>49</v>
      </c>
      <c r="I3" s="9" t="s">
        <v>50</v>
      </c>
      <c r="J3" s="11" t="s">
        <v>5</v>
      </c>
      <c r="K3" s="11" t="s">
        <v>6</v>
      </c>
      <c r="L3" s="11" t="s">
        <v>7</v>
      </c>
      <c r="M3" s="9" t="s">
        <v>51</v>
      </c>
    </row>
    <row r="4" ht="24" customHeight="1" spans="1:13" x14ac:dyDescent="0.25">
      <c r="A4" s="12">
        <v>1</v>
      </c>
      <c r="B4" s="13" t="s">
        <v>221</v>
      </c>
      <c r="C4" s="14" t="s">
        <v>222</v>
      </c>
      <c r="D4" s="13" t="s">
        <v>223</v>
      </c>
      <c r="E4" s="15" t="s">
        <v>224</v>
      </c>
      <c r="F4" s="13" t="s">
        <v>225</v>
      </c>
      <c r="G4" s="13" t="s">
        <v>225</v>
      </c>
      <c r="H4" s="13" t="s">
        <v>226</v>
      </c>
      <c r="I4" s="15" t="s">
        <v>227</v>
      </c>
      <c r="J4" s="12" t="s">
        <v>58</v>
      </c>
      <c r="K4" s="12" t="s">
        <v>58</v>
      </c>
      <c r="L4" s="12" t="s">
        <v>58</v>
      </c>
      <c r="M4" s="4">
        <f>COUNTIF(J4:L4,"P")</f>
      </c>
    </row>
    <row r="5" ht="24" customHeight="1" spans="1:13" x14ac:dyDescent="0.25">
      <c r="A5" s="12">
        <v>2</v>
      </c>
      <c r="B5" s="13" t="s">
        <v>228</v>
      </c>
      <c r="C5" s="14" t="s">
        <v>229</v>
      </c>
      <c r="D5" s="13" t="s">
        <v>230</v>
      </c>
      <c r="E5" s="15" t="s">
        <v>231</v>
      </c>
      <c r="F5" s="13" t="s">
        <v>232</v>
      </c>
      <c r="G5" s="13" t="s">
        <v>232</v>
      </c>
      <c r="H5" s="13" t="s">
        <v>233</v>
      </c>
      <c r="I5" s="15" t="s">
        <v>234</v>
      </c>
      <c r="J5" s="12" t="s">
        <v>58</v>
      </c>
      <c r="K5" s="12" t="s">
        <v>58</v>
      </c>
      <c r="L5" s="12" t="s">
        <v>58</v>
      </c>
      <c r="M5" s="4">
        <f>COUNTIF(J5:L5,"P")</f>
      </c>
    </row>
    <row r="6" ht="24" customHeight="1" spans="1:13" x14ac:dyDescent="0.25">
      <c r="A6" s="12">
        <v>3</v>
      </c>
      <c r="B6" s="13" t="s">
        <v>58</v>
      </c>
      <c r="C6" s="14" t="s">
        <v>235</v>
      </c>
      <c r="D6" s="13" t="s">
        <v>236</v>
      </c>
      <c r="E6" s="15" t="s">
        <v>237</v>
      </c>
      <c r="F6" s="13" t="s">
        <v>238</v>
      </c>
      <c r="G6" s="13" t="s">
        <v>238</v>
      </c>
      <c r="H6" s="13" t="s">
        <v>58</v>
      </c>
      <c r="I6" s="15" t="s">
        <v>239</v>
      </c>
      <c r="J6" s="12" t="s">
        <v>58</v>
      </c>
      <c r="K6" s="12" t="s">
        <v>58</v>
      </c>
      <c r="L6" s="12" t="s">
        <v>58</v>
      </c>
      <c r="M6" s="4">
        <f>COUNTIF(J6:L6,"P")</f>
      </c>
    </row>
    <row r="7" ht="24" customHeight="1" spans="1:13" x14ac:dyDescent="0.25">
      <c r="A7" s="12">
        <v>4</v>
      </c>
      <c r="B7" s="13" t="s">
        <v>58</v>
      </c>
      <c r="C7" s="14" t="s">
        <v>240</v>
      </c>
      <c r="D7" s="13" t="s">
        <v>58</v>
      </c>
      <c r="E7" s="15" t="s">
        <v>241</v>
      </c>
      <c r="F7" s="13" t="s">
        <v>242</v>
      </c>
      <c r="G7" s="13" t="s">
        <v>58</v>
      </c>
      <c r="H7" s="13" t="s">
        <v>58</v>
      </c>
      <c r="I7" s="15" t="s">
        <v>58</v>
      </c>
      <c r="J7" s="12" t="s">
        <v>58</v>
      </c>
      <c r="K7" s="12" t="s">
        <v>58</v>
      </c>
      <c r="L7" s="12" t="s">
        <v>58</v>
      </c>
      <c r="M7" s="4">
        <f>COUNTIF(J7:L7,"P")</f>
      </c>
    </row>
    <row r="8" ht="24" customHeight="1" spans="1:13" x14ac:dyDescent="0.25">
      <c r="A8" s="12">
        <v>5</v>
      </c>
      <c r="B8" s="13" t="s">
        <v>58</v>
      </c>
      <c r="C8" s="14" t="s">
        <v>243</v>
      </c>
      <c r="D8" s="13" t="s">
        <v>58</v>
      </c>
      <c r="E8" s="15" t="s">
        <v>58</v>
      </c>
      <c r="F8" s="13" t="s">
        <v>244</v>
      </c>
      <c r="G8" s="13" t="s">
        <v>58</v>
      </c>
      <c r="H8" s="13" t="s">
        <v>58</v>
      </c>
      <c r="I8" s="15" t="s">
        <v>58</v>
      </c>
      <c r="J8" s="12" t="s">
        <v>58</v>
      </c>
      <c r="K8" s="12" t="s">
        <v>58</v>
      </c>
      <c r="L8" s="12" t="s">
        <v>58</v>
      </c>
      <c r="M8" s="4">
        <f>COUNTIF(J8:L8,"P")</f>
      </c>
    </row>
    <row r="9" ht="26" customHeight="1" spans="1:13" x14ac:dyDescent="0.25">
      <c r="A9" s="16"/>
      <c r="B9" s="16"/>
      <c r="C9" s="17" t="s">
        <v>51</v>
      </c>
      <c r="D9" s="16"/>
      <c r="E9" s="16"/>
      <c r="F9" s="16"/>
      <c r="G9" s="16"/>
      <c r="H9" s="16"/>
      <c r="I9" s="16"/>
      <c r="J9" s="18">
        <f>COUNTIF(J4:J8,"P")</f>
      </c>
      <c r="K9" s="18">
        <f>COUNTIF(K4:K8,"P")</f>
      </c>
      <c r="L9" s="18">
        <f>COUNTIF(L4:L8,"P")</f>
      </c>
      <c r="M9" s="18">
        <f>SUM(M4:M8)</f>
      </c>
    </row>
  </sheetData>
  <mergeCells count="2">
    <mergeCell ref="A1:M1"/>
    <mergeCell ref="A2:M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2"/>
  <sheetViews>
    <sheetView workbookViewId="0">
      <pane xSplit="3" ySplit="3" topLeftCell="D4" activePane="bottomRight" state="frozen"/>
      <selection pane="bottomRight"/>
    </sheetView>
  </sheetViews>
  <sheetFormatPr defaultRowHeight="20" outlineLevelRow="0" outlineLevelCol="0" x14ac:dyDescent="55" customHeight="1"/>
  <cols>
    <col min="1" max="1" width="9.29" customWidth="1"/>
    <col min="2" max="2" width="10.14" customWidth="1"/>
    <col min="3" max="3" width="42.29" customWidth="1"/>
    <col min="4" max="4" width="14.86" customWidth="1"/>
    <col min="5" max="5" width="35.14" customWidth="1"/>
    <col min="6" max="6" width="15.86" customWidth="1"/>
    <col min="7" max="7" width="14.57" customWidth="1"/>
    <col min="8" max="8" width="17.57" customWidth="1"/>
    <col min="9" max="9" width="15.71" customWidth="1"/>
    <col min="10" max="12" width="11.57" customWidth="1"/>
    <col min="13" max="13" width="15" customWidth="1"/>
  </cols>
  <sheetData>
    <row r="1" ht="36" customHeight="1" spans="1:13" x14ac:dyDescent="0.25">
      <c r="A1" s="7" t="s">
        <v>40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ht="30" customHeight="1" spans="1:13" x14ac:dyDescent="0.25">
      <c r="A2" s="8" t="s">
        <v>245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ht="28" customHeight="1" spans="1:13" x14ac:dyDescent="0.25">
      <c r="A3" s="9" t="s">
        <v>42</v>
      </c>
      <c r="B3" s="9" t="s">
        <v>43</v>
      </c>
      <c r="C3" s="10" t="s">
        <v>44</v>
      </c>
      <c r="D3" s="9" t="s">
        <v>45</v>
      </c>
      <c r="E3" s="9" t="s">
        <v>46</v>
      </c>
      <c r="F3" s="9" t="s">
        <v>47</v>
      </c>
      <c r="G3" s="9" t="s">
        <v>48</v>
      </c>
      <c r="H3" s="9" t="s">
        <v>49</v>
      </c>
      <c r="I3" s="9" t="s">
        <v>50</v>
      </c>
      <c r="J3" s="11" t="s">
        <v>5</v>
      </c>
      <c r="K3" s="11" t="s">
        <v>6</v>
      </c>
      <c r="L3" s="11" t="s">
        <v>7</v>
      </c>
      <c r="M3" s="9" t="s">
        <v>51</v>
      </c>
    </row>
    <row r="4" ht="24" customHeight="1" spans="1:13" x14ac:dyDescent="0.25">
      <c r="A4" s="12">
        <v>1</v>
      </c>
      <c r="B4" s="13" t="s">
        <v>246</v>
      </c>
      <c r="C4" s="14" t="s">
        <v>247</v>
      </c>
      <c r="D4" s="13" t="s">
        <v>248</v>
      </c>
      <c r="E4" s="15" t="s">
        <v>249</v>
      </c>
      <c r="F4" s="13" t="s">
        <v>250</v>
      </c>
      <c r="G4" s="13" t="s">
        <v>250</v>
      </c>
      <c r="H4" s="13" t="s">
        <v>251</v>
      </c>
      <c r="I4" s="15" t="s">
        <v>57</v>
      </c>
      <c r="J4" s="12" t="s">
        <v>58</v>
      </c>
      <c r="K4" s="12" t="s">
        <v>58</v>
      </c>
      <c r="L4" s="12" t="s">
        <v>58</v>
      </c>
      <c r="M4" s="4">
        <f>COUNTIF(J4:L4,"P")</f>
      </c>
    </row>
    <row r="5" ht="24" customHeight="1" spans="1:13" x14ac:dyDescent="0.25">
      <c r="A5" s="12">
        <v>2</v>
      </c>
      <c r="B5" s="13" t="s">
        <v>252</v>
      </c>
      <c r="C5" s="14" t="s">
        <v>253</v>
      </c>
      <c r="D5" s="13" t="s">
        <v>254</v>
      </c>
      <c r="E5" s="15" t="s">
        <v>255</v>
      </c>
      <c r="F5" s="13" t="s">
        <v>256</v>
      </c>
      <c r="G5" s="13" t="s">
        <v>256</v>
      </c>
      <c r="H5" s="13" t="s">
        <v>257</v>
      </c>
      <c r="I5" s="15" t="s">
        <v>57</v>
      </c>
      <c r="J5" s="12" t="s">
        <v>58</v>
      </c>
      <c r="K5" s="12" t="s">
        <v>58</v>
      </c>
      <c r="L5" s="12" t="s">
        <v>58</v>
      </c>
      <c r="M5" s="4">
        <f>COUNTIF(J5:L5,"P")</f>
      </c>
    </row>
    <row r="6" ht="24" customHeight="1" spans="1:13" x14ac:dyDescent="0.25">
      <c r="A6" s="12">
        <v>3</v>
      </c>
      <c r="B6" s="13" t="s">
        <v>258</v>
      </c>
      <c r="C6" s="14" t="s">
        <v>259</v>
      </c>
      <c r="D6" s="13" t="s">
        <v>260</v>
      </c>
      <c r="E6" s="15" t="s">
        <v>261</v>
      </c>
      <c r="F6" s="13" t="s">
        <v>262</v>
      </c>
      <c r="G6" s="13" t="s">
        <v>262</v>
      </c>
      <c r="H6" s="13" t="s">
        <v>263</v>
      </c>
      <c r="I6" s="15" t="s">
        <v>264</v>
      </c>
      <c r="J6" s="12" t="s">
        <v>58</v>
      </c>
      <c r="K6" s="12" t="s">
        <v>58</v>
      </c>
      <c r="L6" s="12" t="s">
        <v>58</v>
      </c>
      <c r="M6" s="4">
        <f>COUNTIF(J6:L6,"P")</f>
      </c>
    </row>
    <row r="7" ht="24" customHeight="1" spans="1:13" x14ac:dyDescent="0.25">
      <c r="A7" s="12">
        <v>4</v>
      </c>
      <c r="B7" s="13" t="s">
        <v>58</v>
      </c>
      <c r="C7" s="14" t="s">
        <v>265</v>
      </c>
      <c r="D7" s="13" t="s">
        <v>266</v>
      </c>
      <c r="E7" s="15" t="s">
        <v>267</v>
      </c>
      <c r="F7" s="13" t="s">
        <v>268</v>
      </c>
      <c r="G7" s="13" t="s">
        <v>268</v>
      </c>
      <c r="H7" s="13" t="s">
        <v>269</v>
      </c>
      <c r="I7" s="15" t="s">
        <v>270</v>
      </c>
      <c r="J7" s="12" t="s">
        <v>58</v>
      </c>
      <c r="K7" s="12" t="s">
        <v>58</v>
      </c>
      <c r="L7" s="12" t="s">
        <v>58</v>
      </c>
      <c r="M7" s="4">
        <f>COUNTIF(J7:L7,"P")</f>
      </c>
    </row>
    <row r="8" ht="24" customHeight="1" spans="1:13" x14ac:dyDescent="0.25">
      <c r="A8" s="12">
        <v>5</v>
      </c>
      <c r="B8" s="13" t="s">
        <v>58</v>
      </c>
      <c r="C8" s="14" t="s">
        <v>271</v>
      </c>
      <c r="D8" s="13" t="s">
        <v>272</v>
      </c>
      <c r="E8" s="15" t="s">
        <v>273</v>
      </c>
      <c r="F8" s="13" t="s">
        <v>274</v>
      </c>
      <c r="G8" s="13" t="s">
        <v>274</v>
      </c>
      <c r="H8" s="13" t="s">
        <v>275</v>
      </c>
      <c r="I8" s="15" t="s">
        <v>276</v>
      </c>
      <c r="J8" s="12" t="s">
        <v>58</v>
      </c>
      <c r="K8" s="12" t="s">
        <v>58</v>
      </c>
      <c r="L8" s="12" t="s">
        <v>58</v>
      </c>
      <c r="M8" s="4">
        <f>COUNTIF(J8:L8,"P")</f>
      </c>
    </row>
    <row r="9" ht="24" customHeight="1" spans="1:13" x14ac:dyDescent="0.25">
      <c r="A9" s="12">
        <v>6</v>
      </c>
      <c r="B9" s="13" t="s">
        <v>58</v>
      </c>
      <c r="C9" s="14" t="s">
        <v>277</v>
      </c>
      <c r="D9" s="13" t="s">
        <v>278</v>
      </c>
      <c r="E9" s="15" t="s">
        <v>279</v>
      </c>
      <c r="F9" s="13" t="s">
        <v>280</v>
      </c>
      <c r="G9" s="13" t="s">
        <v>280</v>
      </c>
      <c r="H9" s="13" t="s">
        <v>281</v>
      </c>
      <c r="I9" s="15" t="s">
        <v>282</v>
      </c>
      <c r="J9" s="12" t="s">
        <v>58</v>
      </c>
      <c r="K9" s="12" t="s">
        <v>58</v>
      </c>
      <c r="L9" s="12" t="s">
        <v>58</v>
      </c>
      <c r="M9" s="4">
        <f>COUNTIF(J9:L9,"P")</f>
      </c>
    </row>
    <row r="10" ht="24" customHeight="1" spans="1:13" x14ac:dyDescent="0.25">
      <c r="A10" s="12">
        <v>7</v>
      </c>
      <c r="B10" s="13" t="s">
        <v>58</v>
      </c>
      <c r="C10" s="14" t="s">
        <v>283</v>
      </c>
      <c r="D10" s="13" t="s">
        <v>284</v>
      </c>
      <c r="E10" s="15" t="s">
        <v>285</v>
      </c>
      <c r="F10" s="13" t="s">
        <v>286</v>
      </c>
      <c r="G10" s="13" t="s">
        <v>286</v>
      </c>
      <c r="H10" s="13" t="s">
        <v>286</v>
      </c>
      <c r="I10" s="15" t="s">
        <v>57</v>
      </c>
      <c r="J10" s="12" t="s">
        <v>58</v>
      </c>
      <c r="K10" s="12" t="s">
        <v>58</v>
      </c>
      <c r="L10" s="12" t="s">
        <v>58</v>
      </c>
      <c r="M10" s="4">
        <f>COUNTIF(J10:L10,"P")</f>
      </c>
    </row>
    <row r="11" ht="24" customHeight="1" spans="1:13" x14ac:dyDescent="0.25">
      <c r="A11" s="12">
        <v>8</v>
      </c>
      <c r="B11" s="13" t="s">
        <v>58</v>
      </c>
      <c r="C11" s="14" t="s">
        <v>287</v>
      </c>
      <c r="D11" s="13" t="s">
        <v>288</v>
      </c>
      <c r="E11" s="15" t="s">
        <v>289</v>
      </c>
      <c r="F11" s="13" t="s">
        <v>290</v>
      </c>
      <c r="G11" s="13" t="s">
        <v>290</v>
      </c>
      <c r="H11" s="13" t="s">
        <v>290</v>
      </c>
      <c r="I11" s="15" t="s">
        <v>213</v>
      </c>
      <c r="J11" s="12" t="s">
        <v>58</v>
      </c>
      <c r="K11" s="12" t="s">
        <v>58</v>
      </c>
      <c r="L11" s="12" t="s">
        <v>58</v>
      </c>
      <c r="M11" s="4">
        <f>COUNTIF(J11:L11,"P")</f>
      </c>
    </row>
    <row r="12" ht="26" customHeight="1" spans="1:13" x14ac:dyDescent="0.25">
      <c r="A12" s="16"/>
      <c r="B12" s="16"/>
      <c r="C12" s="17" t="s">
        <v>51</v>
      </c>
      <c r="D12" s="16"/>
      <c r="E12" s="16"/>
      <c r="F12" s="16"/>
      <c r="G12" s="16"/>
      <c r="H12" s="16"/>
      <c r="I12" s="16"/>
      <c r="J12" s="18">
        <f>COUNTIF(J4:J11,"P")</f>
      </c>
      <c r="K12" s="18">
        <f>COUNTIF(K4:K11,"P")</f>
      </c>
      <c r="L12" s="18">
        <f>COUNTIF(L4:L11,"P")</f>
      </c>
      <c r="M12" s="18">
        <f>SUM(M4:M11)</f>
      </c>
    </row>
  </sheetData>
  <mergeCells count="2">
    <mergeCell ref="A1:M1"/>
    <mergeCell ref="A2:M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"/>
  <sheetViews>
    <sheetView workbookViewId="0">
      <pane xSplit="3" ySplit="3" topLeftCell="D4" activePane="bottomRight" state="frozen"/>
      <selection pane="bottomRight"/>
    </sheetView>
  </sheetViews>
  <sheetFormatPr defaultRowHeight="20" outlineLevelRow="0" outlineLevelCol="0" x14ac:dyDescent="55" customHeight="1"/>
  <cols>
    <col min="1" max="1" width="9.29" customWidth="1"/>
    <col min="2" max="2" width="10.14" customWidth="1"/>
    <col min="3" max="3" width="42.29" customWidth="1"/>
    <col min="4" max="4" width="14.86" customWidth="1"/>
    <col min="5" max="5" width="35.14" customWidth="1"/>
    <col min="6" max="6" width="15.86" customWidth="1"/>
    <col min="7" max="7" width="14.57" customWidth="1"/>
    <col min="8" max="8" width="17.57" customWidth="1"/>
    <col min="9" max="9" width="15.71" customWidth="1"/>
    <col min="10" max="12" width="11.57" customWidth="1"/>
    <col min="13" max="13" width="15" customWidth="1"/>
  </cols>
  <sheetData>
    <row r="1" ht="36" customHeight="1" spans="1:13" x14ac:dyDescent="0.25">
      <c r="A1" s="7" t="s">
        <v>40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ht="30" customHeight="1" spans="1:13" x14ac:dyDescent="0.25">
      <c r="A2" s="8" t="s">
        <v>291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ht="28" customHeight="1" spans="1:13" x14ac:dyDescent="0.25">
      <c r="A3" s="9" t="s">
        <v>42</v>
      </c>
      <c r="B3" s="9" t="s">
        <v>43</v>
      </c>
      <c r="C3" s="10" t="s">
        <v>44</v>
      </c>
      <c r="D3" s="9" t="s">
        <v>45</v>
      </c>
      <c r="E3" s="9" t="s">
        <v>46</v>
      </c>
      <c r="F3" s="9" t="s">
        <v>47</v>
      </c>
      <c r="G3" s="9" t="s">
        <v>48</v>
      </c>
      <c r="H3" s="9" t="s">
        <v>49</v>
      </c>
      <c r="I3" s="9" t="s">
        <v>50</v>
      </c>
      <c r="J3" s="11" t="s">
        <v>5</v>
      </c>
      <c r="K3" s="11" t="s">
        <v>6</v>
      </c>
      <c r="L3" s="11" t="s">
        <v>7</v>
      </c>
      <c r="M3" s="9" t="s">
        <v>51</v>
      </c>
    </row>
    <row r="4" ht="24" customHeight="1" spans="1:13" x14ac:dyDescent="0.25">
      <c r="A4" s="12">
        <v>1</v>
      </c>
      <c r="B4" s="13" t="s">
        <v>292</v>
      </c>
      <c r="C4" s="14" t="s">
        <v>293</v>
      </c>
      <c r="D4" s="13" t="s">
        <v>294</v>
      </c>
      <c r="E4" s="15" t="s">
        <v>295</v>
      </c>
      <c r="F4" s="13" t="s">
        <v>296</v>
      </c>
      <c r="G4" s="13" t="s">
        <v>296</v>
      </c>
      <c r="H4" s="13" t="s">
        <v>297</v>
      </c>
      <c r="I4" s="15" t="s">
        <v>298</v>
      </c>
      <c r="J4" s="12" t="s">
        <v>58</v>
      </c>
      <c r="K4" s="12" t="s">
        <v>58</v>
      </c>
      <c r="L4" s="12" t="s">
        <v>58</v>
      </c>
      <c r="M4" s="4">
        <f>COUNTIF(J4:L4,"P")</f>
      </c>
    </row>
    <row r="5" ht="24" customHeight="1" spans="1:13" x14ac:dyDescent="0.25">
      <c r="A5" s="12">
        <v>2</v>
      </c>
      <c r="B5" s="13" t="s">
        <v>299</v>
      </c>
      <c r="C5" s="14" t="s">
        <v>300</v>
      </c>
      <c r="D5" s="13" t="s">
        <v>301</v>
      </c>
      <c r="E5" s="15" t="s">
        <v>302</v>
      </c>
      <c r="F5" s="13" t="s">
        <v>303</v>
      </c>
      <c r="G5" s="13" t="s">
        <v>303</v>
      </c>
      <c r="H5" s="13" t="s">
        <v>304</v>
      </c>
      <c r="I5" s="15" t="s">
        <v>305</v>
      </c>
      <c r="J5" s="12" t="s">
        <v>58</v>
      </c>
      <c r="K5" s="12" t="s">
        <v>58</v>
      </c>
      <c r="L5" s="12" t="s">
        <v>58</v>
      </c>
      <c r="M5" s="4">
        <f>COUNTIF(J5:L5,"P")</f>
      </c>
    </row>
    <row r="6" ht="24" customHeight="1" spans="1:13" x14ac:dyDescent="0.25">
      <c r="A6" s="12">
        <v>3</v>
      </c>
      <c r="B6" s="13" t="s">
        <v>306</v>
      </c>
      <c r="C6" s="14" t="s">
        <v>307</v>
      </c>
      <c r="D6" s="13" t="s">
        <v>308</v>
      </c>
      <c r="E6" s="15" t="s">
        <v>309</v>
      </c>
      <c r="F6" s="13" t="s">
        <v>310</v>
      </c>
      <c r="G6" s="13" t="s">
        <v>310</v>
      </c>
      <c r="H6" s="13" t="s">
        <v>311</v>
      </c>
      <c r="I6" s="15" t="s">
        <v>312</v>
      </c>
      <c r="J6" s="12" t="s">
        <v>58</v>
      </c>
      <c r="K6" s="12" t="s">
        <v>58</v>
      </c>
      <c r="L6" s="12" t="s">
        <v>58</v>
      </c>
      <c r="M6" s="4">
        <f>COUNTIF(J6:L6,"P")</f>
      </c>
    </row>
    <row r="7" ht="24" customHeight="1" spans="1:13" x14ac:dyDescent="0.25">
      <c r="A7" s="12">
        <v>4</v>
      </c>
      <c r="B7" s="13" t="s">
        <v>313</v>
      </c>
      <c r="C7" s="14" t="s">
        <v>314</v>
      </c>
      <c r="D7" s="13" t="s">
        <v>315</v>
      </c>
      <c r="E7" s="15" t="s">
        <v>316</v>
      </c>
      <c r="F7" s="13" t="s">
        <v>317</v>
      </c>
      <c r="G7" s="13" t="s">
        <v>317</v>
      </c>
      <c r="H7" s="13" t="s">
        <v>318</v>
      </c>
      <c r="I7" s="15" t="s">
        <v>319</v>
      </c>
      <c r="J7" s="12" t="s">
        <v>58</v>
      </c>
      <c r="K7" s="12" t="s">
        <v>58</v>
      </c>
      <c r="L7" s="12" t="s">
        <v>58</v>
      </c>
      <c r="M7" s="4">
        <f>COUNTIF(J7:L7,"P")</f>
      </c>
    </row>
    <row r="8" ht="24" customHeight="1" spans="1:13" x14ac:dyDescent="0.25">
      <c r="A8" s="12">
        <v>5</v>
      </c>
      <c r="B8" s="13" t="s">
        <v>58</v>
      </c>
      <c r="C8" s="14" t="s">
        <v>320</v>
      </c>
      <c r="D8" s="13" t="s">
        <v>321</v>
      </c>
      <c r="E8" s="15" t="s">
        <v>322</v>
      </c>
      <c r="F8" s="13" t="s">
        <v>323</v>
      </c>
      <c r="G8" s="13" t="s">
        <v>323</v>
      </c>
      <c r="H8" s="13" t="s">
        <v>58</v>
      </c>
      <c r="I8" s="15" t="s">
        <v>213</v>
      </c>
      <c r="J8" s="12" t="s">
        <v>58</v>
      </c>
      <c r="K8" s="12" t="s">
        <v>58</v>
      </c>
      <c r="L8" s="12" t="s">
        <v>58</v>
      </c>
      <c r="M8" s="4">
        <f>COUNTIF(J8:L8,"P")</f>
      </c>
    </row>
    <row r="9" ht="24" customHeight="1" spans="1:13" x14ac:dyDescent="0.25">
      <c r="A9" s="12">
        <v>6</v>
      </c>
      <c r="B9" s="13" t="s">
        <v>58</v>
      </c>
      <c r="C9" s="14" t="s">
        <v>324</v>
      </c>
      <c r="D9" s="13" t="s">
        <v>325</v>
      </c>
      <c r="E9" s="15" t="s">
        <v>326</v>
      </c>
      <c r="F9" s="13" t="s">
        <v>327</v>
      </c>
      <c r="G9" s="13" t="s">
        <v>327</v>
      </c>
      <c r="H9" s="13" t="s">
        <v>58</v>
      </c>
      <c r="I9" s="15" t="s">
        <v>328</v>
      </c>
      <c r="J9" s="12" t="s">
        <v>58</v>
      </c>
      <c r="K9" s="12" t="s">
        <v>58</v>
      </c>
      <c r="L9" s="12" t="s">
        <v>58</v>
      </c>
      <c r="M9" s="4">
        <f>COUNTIF(J9:L9,"P")</f>
      </c>
    </row>
    <row r="10" ht="26" customHeight="1" spans="1:13" x14ac:dyDescent="0.25">
      <c r="A10" s="16"/>
      <c r="B10" s="16"/>
      <c r="C10" s="17" t="s">
        <v>51</v>
      </c>
      <c r="D10" s="16"/>
      <c r="E10" s="16"/>
      <c r="F10" s="16"/>
      <c r="G10" s="16"/>
      <c r="H10" s="16"/>
      <c r="I10" s="16"/>
      <c r="J10" s="18">
        <f>COUNTIF(J4:J9,"P")</f>
      </c>
      <c r="K10" s="18">
        <f>COUNTIF(K4:K9,"P")</f>
      </c>
      <c r="L10" s="18">
        <f>COUNTIF(L4:L9,"P")</f>
      </c>
      <c r="M10" s="18">
        <f>SUM(M4:M9)</f>
      </c>
    </row>
  </sheetData>
  <mergeCells count="2">
    <mergeCell ref="A1:M1"/>
    <mergeCell ref="A2:M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1"/>
  <sheetViews>
    <sheetView workbookViewId="0">
      <pane xSplit="3" ySplit="3" topLeftCell="D4" activePane="bottomRight" state="frozen"/>
      <selection pane="bottomRight"/>
    </sheetView>
  </sheetViews>
  <sheetFormatPr defaultRowHeight="20" outlineLevelRow="0" outlineLevelCol="0" x14ac:dyDescent="55" customHeight="1"/>
  <cols>
    <col min="1" max="1" width="9.29" customWidth="1"/>
    <col min="2" max="2" width="10.14" customWidth="1"/>
    <col min="3" max="3" width="42.29" customWidth="1"/>
    <col min="4" max="4" width="14.86" customWidth="1"/>
    <col min="5" max="5" width="35.14" customWidth="1"/>
    <col min="6" max="6" width="15.86" customWidth="1"/>
    <col min="7" max="7" width="14.57" customWidth="1"/>
    <col min="8" max="8" width="17.57" customWidth="1"/>
    <col min="9" max="9" width="15.71" customWidth="1"/>
    <col min="10" max="12" width="11.57" customWidth="1"/>
    <col min="13" max="13" width="15" customWidth="1"/>
  </cols>
  <sheetData>
    <row r="1" ht="36" customHeight="1" spans="1:13" x14ac:dyDescent="0.25">
      <c r="A1" s="7" t="s">
        <v>40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ht="30" customHeight="1" spans="1:13" x14ac:dyDescent="0.25">
      <c r="A2" s="8" t="s">
        <v>329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ht="28" customHeight="1" spans="1:13" x14ac:dyDescent="0.25">
      <c r="A3" s="9" t="s">
        <v>42</v>
      </c>
      <c r="B3" s="9" t="s">
        <v>43</v>
      </c>
      <c r="C3" s="10" t="s">
        <v>44</v>
      </c>
      <c r="D3" s="9" t="s">
        <v>45</v>
      </c>
      <c r="E3" s="9" t="s">
        <v>46</v>
      </c>
      <c r="F3" s="9" t="s">
        <v>47</v>
      </c>
      <c r="G3" s="9" t="s">
        <v>48</v>
      </c>
      <c r="H3" s="9" t="s">
        <v>49</v>
      </c>
      <c r="I3" s="9" t="s">
        <v>50</v>
      </c>
      <c r="J3" s="11" t="s">
        <v>5</v>
      </c>
      <c r="K3" s="11" t="s">
        <v>6</v>
      </c>
      <c r="L3" s="11" t="s">
        <v>7</v>
      </c>
      <c r="M3" s="9" t="s">
        <v>51</v>
      </c>
    </row>
    <row r="4" ht="24" customHeight="1" spans="1:13" x14ac:dyDescent="0.25">
      <c r="A4" s="12">
        <v>1</v>
      </c>
      <c r="B4" s="13" t="s">
        <v>330</v>
      </c>
      <c r="C4" s="14" t="s">
        <v>331</v>
      </c>
      <c r="D4" s="13" t="s">
        <v>332</v>
      </c>
      <c r="E4" s="15" t="s">
        <v>333</v>
      </c>
      <c r="F4" s="13" t="s">
        <v>334</v>
      </c>
      <c r="G4" s="13" t="s">
        <v>334</v>
      </c>
      <c r="H4" s="13" t="s">
        <v>335</v>
      </c>
      <c r="I4" s="15" t="s">
        <v>336</v>
      </c>
      <c r="J4" s="12" t="s">
        <v>58</v>
      </c>
      <c r="K4" s="12" t="s">
        <v>58</v>
      </c>
      <c r="L4" s="12" t="s">
        <v>58</v>
      </c>
      <c r="M4" s="4">
        <f>COUNTIF(J4:L4,"P")</f>
      </c>
    </row>
    <row r="5" ht="24" customHeight="1" spans="1:13" x14ac:dyDescent="0.25">
      <c r="A5" s="12">
        <v>2</v>
      </c>
      <c r="B5" s="13" t="s">
        <v>337</v>
      </c>
      <c r="C5" s="14" t="s">
        <v>338</v>
      </c>
      <c r="D5" s="13" t="s">
        <v>339</v>
      </c>
      <c r="E5" s="15" t="s">
        <v>340</v>
      </c>
      <c r="F5" s="13" t="s">
        <v>341</v>
      </c>
      <c r="G5" s="13" t="s">
        <v>341</v>
      </c>
      <c r="H5" s="13" t="s">
        <v>342</v>
      </c>
      <c r="I5" s="15" t="s">
        <v>343</v>
      </c>
      <c r="J5" s="12" t="s">
        <v>58</v>
      </c>
      <c r="K5" s="12" t="s">
        <v>58</v>
      </c>
      <c r="L5" s="12" t="s">
        <v>58</v>
      </c>
      <c r="M5" s="4">
        <f>COUNTIF(J5:L5,"P")</f>
      </c>
    </row>
    <row r="6" ht="24" customHeight="1" spans="1:13" x14ac:dyDescent="0.25">
      <c r="A6" s="12">
        <v>3</v>
      </c>
      <c r="B6" s="13" t="s">
        <v>344</v>
      </c>
      <c r="C6" s="14" t="s">
        <v>345</v>
      </c>
      <c r="D6" s="13" t="s">
        <v>346</v>
      </c>
      <c r="E6" s="15" t="s">
        <v>347</v>
      </c>
      <c r="F6" s="13" t="s">
        <v>348</v>
      </c>
      <c r="G6" s="13" t="s">
        <v>349</v>
      </c>
      <c r="H6" s="13" t="s">
        <v>350</v>
      </c>
      <c r="I6" s="15" t="s">
        <v>351</v>
      </c>
      <c r="J6" s="12" t="s">
        <v>58</v>
      </c>
      <c r="K6" s="12" t="s">
        <v>58</v>
      </c>
      <c r="L6" s="12" t="s">
        <v>58</v>
      </c>
      <c r="M6" s="4">
        <f>COUNTIF(J6:L6,"P")</f>
      </c>
    </row>
    <row r="7" ht="24" customHeight="1" spans="1:13" x14ac:dyDescent="0.25">
      <c r="A7" s="12">
        <v>4</v>
      </c>
      <c r="B7" s="13" t="s">
        <v>58</v>
      </c>
      <c r="C7" s="14" t="s">
        <v>352</v>
      </c>
      <c r="D7" s="13" t="s">
        <v>353</v>
      </c>
      <c r="E7" s="15" t="s">
        <v>354</v>
      </c>
      <c r="F7" s="13" t="s">
        <v>355</v>
      </c>
      <c r="G7" s="13" t="s">
        <v>355</v>
      </c>
      <c r="H7" s="13" t="s">
        <v>58</v>
      </c>
      <c r="I7" s="15" t="s">
        <v>213</v>
      </c>
      <c r="J7" s="12" t="s">
        <v>58</v>
      </c>
      <c r="K7" s="12" t="s">
        <v>58</v>
      </c>
      <c r="L7" s="12" t="s">
        <v>58</v>
      </c>
      <c r="M7" s="4">
        <f>COUNTIF(J7:L7,"P")</f>
      </c>
    </row>
    <row r="8" ht="24" customHeight="1" spans="1:13" x14ac:dyDescent="0.25">
      <c r="A8" s="12">
        <v>5</v>
      </c>
      <c r="B8" s="13" t="s">
        <v>58</v>
      </c>
      <c r="C8" s="14" t="s">
        <v>356</v>
      </c>
      <c r="D8" s="13" t="s">
        <v>357</v>
      </c>
      <c r="E8" s="15" t="s">
        <v>358</v>
      </c>
      <c r="F8" s="13" t="s">
        <v>359</v>
      </c>
      <c r="G8" s="13" t="s">
        <v>359</v>
      </c>
      <c r="H8" s="13" t="s">
        <v>58</v>
      </c>
      <c r="I8" s="15" t="s">
        <v>360</v>
      </c>
      <c r="J8" s="12" t="s">
        <v>58</v>
      </c>
      <c r="K8" s="12" t="s">
        <v>58</v>
      </c>
      <c r="L8" s="12" t="s">
        <v>58</v>
      </c>
      <c r="M8" s="4">
        <f>COUNTIF(J8:L8,"P")</f>
      </c>
    </row>
    <row r="9" ht="24" customHeight="1" spans="1:13" x14ac:dyDescent="0.25">
      <c r="A9" s="12">
        <v>6</v>
      </c>
      <c r="B9" s="13" t="s">
        <v>58</v>
      </c>
      <c r="C9" s="14" t="s">
        <v>361</v>
      </c>
      <c r="D9" s="13" t="s">
        <v>362</v>
      </c>
      <c r="E9" s="15" t="s">
        <v>363</v>
      </c>
      <c r="F9" s="13" t="s">
        <v>364</v>
      </c>
      <c r="G9" s="13" t="s">
        <v>364</v>
      </c>
      <c r="H9" s="13" t="s">
        <v>58</v>
      </c>
      <c r="I9" s="15" t="s">
        <v>365</v>
      </c>
      <c r="J9" s="12" t="s">
        <v>58</v>
      </c>
      <c r="K9" s="12" t="s">
        <v>58</v>
      </c>
      <c r="L9" s="12" t="s">
        <v>58</v>
      </c>
      <c r="M9" s="4">
        <f>COUNTIF(J9:L9,"P")</f>
      </c>
    </row>
    <row r="10" ht="24" customHeight="1" spans="1:13" x14ac:dyDescent="0.25">
      <c r="A10" s="12">
        <v>7</v>
      </c>
      <c r="B10" s="13" t="s">
        <v>58</v>
      </c>
      <c r="C10" s="14" t="s">
        <v>366</v>
      </c>
      <c r="D10" s="13" t="s">
        <v>58</v>
      </c>
      <c r="E10" s="15" t="s">
        <v>333</v>
      </c>
      <c r="F10" s="13" t="s">
        <v>58</v>
      </c>
      <c r="G10" s="13" t="s">
        <v>58</v>
      </c>
      <c r="H10" s="13" t="s">
        <v>58</v>
      </c>
      <c r="I10" s="15" t="s">
        <v>159</v>
      </c>
      <c r="J10" s="12" t="s">
        <v>58</v>
      </c>
      <c r="K10" s="12" t="s">
        <v>58</v>
      </c>
      <c r="L10" s="12" t="s">
        <v>58</v>
      </c>
      <c r="M10" s="4">
        <f>COUNTIF(J10:L10,"P")</f>
      </c>
    </row>
    <row r="11" ht="26" customHeight="1" spans="1:13" x14ac:dyDescent="0.25">
      <c r="A11" s="16"/>
      <c r="B11" s="16"/>
      <c r="C11" s="17" t="s">
        <v>51</v>
      </c>
      <c r="D11" s="16"/>
      <c r="E11" s="16"/>
      <c r="F11" s="16"/>
      <c r="G11" s="16"/>
      <c r="H11" s="16"/>
      <c r="I11" s="16"/>
      <c r="J11" s="18">
        <f>COUNTIF(J4:J10,"P")</f>
      </c>
      <c r="K11" s="18">
        <f>COUNTIF(K4:K10,"P")</f>
      </c>
      <c r="L11" s="18">
        <f>COUNTIF(L4:L10,"P")</f>
      </c>
      <c r="M11" s="18">
        <f>SUM(M4:M10)</f>
      </c>
    </row>
  </sheetData>
  <mergeCells count="2">
    <mergeCell ref="A1:M1"/>
    <mergeCell ref="A2:M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5"/>
  <sheetViews>
    <sheetView workbookViewId="0">
      <pane xSplit="3" ySplit="3" topLeftCell="D4" activePane="bottomRight" state="frozen"/>
      <selection pane="bottomRight"/>
    </sheetView>
  </sheetViews>
  <sheetFormatPr defaultRowHeight="20" outlineLevelRow="0" outlineLevelCol="0" x14ac:dyDescent="55" customHeight="1"/>
  <cols>
    <col min="1" max="1" width="9.29" customWidth="1"/>
    <col min="2" max="2" width="10.14" customWidth="1"/>
    <col min="3" max="3" width="42.29" customWidth="1"/>
    <col min="4" max="4" width="14.86" customWidth="1"/>
    <col min="5" max="5" width="35.14" customWidth="1"/>
    <col min="6" max="6" width="15.86" customWidth="1"/>
    <col min="7" max="7" width="14.57" customWidth="1"/>
    <col min="8" max="8" width="17.57" customWidth="1"/>
    <col min="9" max="9" width="15.71" customWidth="1"/>
    <col min="10" max="12" width="11.57" customWidth="1"/>
    <col min="13" max="13" width="15" customWidth="1"/>
  </cols>
  <sheetData>
    <row r="1" ht="36" customHeight="1" spans="1:13" x14ac:dyDescent="0.25">
      <c r="A1" s="7" t="s">
        <v>40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ht="30" customHeight="1" spans="1:13" x14ac:dyDescent="0.25">
      <c r="A2" s="8" t="s">
        <v>367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ht="28" customHeight="1" spans="1:13" x14ac:dyDescent="0.25">
      <c r="A3" s="9" t="s">
        <v>42</v>
      </c>
      <c r="B3" s="9" t="s">
        <v>43</v>
      </c>
      <c r="C3" s="10" t="s">
        <v>44</v>
      </c>
      <c r="D3" s="9" t="s">
        <v>45</v>
      </c>
      <c r="E3" s="9" t="s">
        <v>46</v>
      </c>
      <c r="F3" s="9" t="s">
        <v>47</v>
      </c>
      <c r="G3" s="9" t="s">
        <v>48</v>
      </c>
      <c r="H3" s="9" t="s">
        <v>49</v>
      </c>
      <c r="I3" s="9" t="s">
        <v>50</v>
      </c>
      <c r="J3" s="11" t="s">
        <v>5</v>
      </c>
      <c r="K3" s="11" t="s">
        <v>6</v>
      </c>
      <c r="L3" s="11" t="s">
        <v>7</v>
      </c>
      <c r="M3" s="9" t="s">
        <v>51</v>
      </c>
    </row>
    <row r="4" ht="24" customHeight="1" spans="1:13" x14ac:dyDescent="0.25">
      <c r="A4" s="12">
        <v>1</v>
      </c>
      <c r="B4" s="13" t="s">
        <v>368</v>
      </c>
      <c r="C4" s="14" t="s">
        <v>369</v>
      </c>
      <c r="D4" s="13" t="s">
        <v>370</v>
      </c>
      <c r="E4" s="15" t="s">
        <v>371</v>
      </c>
      <c r="F4" s="13" t="s">
        <v>372</v>
      </c>
      <c r="G4" s="13" t="s">
        <v>372</v>
      </c>
      <c r="H4" s="13" t="s">
        <v>373</v>
      </c>
      <c r="I4" s="15" t="s">
        <v>374</v>
      </c>
      <c r="J4" s="12" t="s">
        <v>58</v>
      </c>
      <c r="K4" s="12" t="s">
        <v>58</v>
      </c>
      <c r="L4" s="12" t="s">
        <v>58</v>
      </c>
      <c r="M4" s="4">
        <f>COUNTIF(J4:L4,"P")</f>
      </c>
    </row>
    <row r="5" ht="24" customHeight="1" spans="1:13" x14ac:dyDescent="0.25">
      <c r="A5" s="12">
        <v>2</v>
      </c>
      <c r="B5" s="13" t="s">
        <v>375</v>
      </c>
      <c r="C5" s="14" t="s">
        <v>376</v>
      </c>
      <c r="D5" s="13" t="s">
        <v>377</v>
      </c>
      <c r="E5" s="15" t="s">
        <v>378</v>
      </c>
      <c r="F5" s="13" t="s">
        <v>379</v>
      </c>
      <c r="G5" s="13" t="s">
        <v>379</v>
      </c>
      <c r="H5" s="13" t="s">
        <v>380</v>
      </c>
      <c r="I5" s="15" t="s">
        <v>381</v>
      </c>
      <c r="J5" s="12" t="s">
        <v>58</v>
      </c>
      <c r="K5" s="12" t="s">
        <v>58</v>
      </c>
      <c r="L5" s="12" t="s">
        <v>58</v>
      </c>
      <c r="M5" s="4">
        <f>COUNTIF(J5:L5,"P")</f>
      </c>
    </row>
    <row r="6" ht="24" customHeight="1" spans="1:13" x14ac:dyDescent="0.25">
      <c r="A6" s="12">
        <v>3</v>
      </c>
      <c r="B6" s="13" t="s">
        <v>382</v>
      </c>
      <c r="C6" s="14" t="s">
        <v>383</v>
      </c>
      <c r="D6" s="13" t="s">
        <v>384</v>
      </c>
      <c r="E6" s="15" t="s">
        <v>385</v>
      </c>
      <c r="F6" s="13" t="s">
        <v>386</v>
      </c>
      <c r="G6" s="13" t="s">
        <v>386</v>
      </c>
      <c r="H6" s="13" t="s">
        <v>387</v>
      </c>
      <c r="I6" s="15" t="s">
        <v>388</v>
      </c>
      <c r="J6" s="12" t="s">
        <v>58</v>
      </c>
      <c r="K6" s="12" t="s">
        <v>58</v>
      </c>
      <c r="L6" s="12" t="s">
        <v>58</v>
      </c>
      <c r="M6" s="4">
        <f>COUNTIF(J6:L6,"P")</f>
      </c>
    </row>
    <row r="7" ht="24" customHeight="1" spans="1:13" x14ac:dyDescent="0.25">
      <c r="A7" s="12">
        <v>4</v>
      </c>
      <c r="B7" s="13" t="s">
        <v>389</v>
      </c>
      <c r="C7" s="14" t="s">
        <v>390</v>
      </c>
      <c r="D7" s="13" t="s">
        <v>391</v>
      </c>
      <c r="E7" s="15" t="s">
        <v>392</v>
      </c>
      <c r="F7" s="13" t="s">
        <v>393</v>
      </c>
      <c r="G7" s="13" t="s">
        <v>393</v>
      </c>
      <c r="H7" s="13" t="s">
        <v>394</v>
      </c>
      <c r="I7" s="15" t="s">
        <v>388</v>
      </c>
      <c r="J7" s="12" t="s">
        <v>58</v>
      </c>
      <c r="K7" s="12" t="s">
        <v>58</v>
      </c>
      <c r="L7" s="12" t="s">
        <v>58</v>
      </c>
      <c r="M7" s="4">
        <f>COUNTIF(J7:L7,"P")</f>
      </c>
    </row>
    <row r="8" ht="24" customHeight="1" spans="1:13" x14ac:dyDescent="0.25">
      <c r="A8" s="12">
        <v>5</v>
      </c>
      <c r="B8" s="13" t="s">
        <v>395</v>
      </c>
      <c r="C8" s="14" t="s">
        <v>396</v>
      </c>
      <c r="D8" s="13" t="s">
        <v>397</v>
      </c>
      <c r="E8" s="15" t="s">
        <v>398</v>
      </c>
      <c r="F8" s="13" t="s">
        <v>399</v>
      </c>
      <c r="G8" s="13" t="s">
        <v>399</v>
      </c>
      <c r="H8" s="13" t="s">
        <v>400</v>
      </c>
      <c r="I8" s="15" t="s">
        <v>401</v>
      </c>
      <c r="J8" s="12" t="s">
        <v>58</v>
      </c>
      <c r="K8" s="12" t="s">
        <v>58</v>
      </c>
      <c r="L8" s="12" t="s">
        <v>58</v>
      </c>
      <c r="M8" s="4">
        <f>COUNTIF(J8:L8,"P")</f>
      </c>
    </row>
    <row r="9" ht="24" customHeight="1" spans="1:13" x14ac:dyDescent="0.25">
      <c r="A9" s="12">
        <v>6</v>
      </c>
      <c r="B9" s="13" t="s">
        <v>402</v>
      </c>
      <c r="C9" s="14" t="s">
        <v>403</v>
      </c>
      <c r="D9" s="13" t="s">
        <v>404</v>
      </c>
      <c r="E9" s="15" t="s">
        <v>405</v>
      </c>
      <c r="F9" s="13" t="s">
        <v>406</v>
      </c>
      <c r="G9" s="13" t="s">
        <v>406</v>
      </c>
      <c r="H9" s="13" t="s">
        <v>407</v>
      </c>
      <c r="I9" s="15" t="s">
        <v>408</v>
      </c>
      <c r="J9" s="12" t="s">
        <v>58</v>
      </c>
      <c r="K9" s="12" t="s">
        <v>58</v>
      </c>
      <c r="L9" s="12" t="s">
        <v>58</v>
      </c>
      <c r="M9" s="4">
        <f>COUNTIF(J9:L9,"P")</f>
      </c>
    </row>
    <row r="10" ht="24" customHeight="1" spans="1:13" x14ac:dyDescent="0.25">
      <c r="A10" s="12">
        <v>7</v>
      </c>
      <c r="B10" s="13" t="s">
        <v>409</v>
      </c>
      <c r="C10" s="14" t="s">
        <v>410</v>
      </c>
      <c r="D10" s="13" t="s">
        <v>411</v>
      </c>
      <c r="E10" s="15" t="s">
        <v>412</v>
      </c>
      <c r="F10" s="13" t="s">
        <v>413</v>
      </c>
      <c r="G10" s="13" t="s">
        <v>413</v>
      </c>
      <c r="H10" s="13" t="s">
        <v>414</v>
      </c>
      <c r="I10" s="15" t="s">
        <v>415</v>
      </c>
      <c r="J10" s="12" t="s">
        <v>58</v>
      </c>
      <c r="K10" s="12" t="s">
        <v>58</v>
      </c>
      <c r="L10" s="12" t="s">
        <v>58</v>
      </c>
      <c r="M10" s="4">
        <f>COUNTIF(J10:L10,"P")</f>
      </c>
    </row>
    <row r="11" ht="24" customHeight="1" spans="1:13" x14ac:dyDescent="0.25">
      <c r="A11" s="12">
        <v>8</v>
      </c>
      <c r="B11" s="13" t="s">
        <v>416</v>
      </c>
      <c r="C11" s="14" t="s">
        <v>417</v>
      </c>
      <c r="D11" s="13" t="s">
        <v>418</v>
      </c>
      <c r="E11" s="15" t="s">
        <v>419</v>
      </c>
      <c r="F11" s="13" t="s">
        <v>420</v>
      </c>
      <c r="G11" s="13" t="s">
        <v>420</v>
      </c>
      <c r="H11" s="13" t="s">
        <v>421</v>
      </c>
      <c r="I11" s="15" t="s">
        <v>422</v>
      </c>
      <c r="J11" s="12" t="s">
        <v>58</v>
      </c>
      <c r="K11" s="12" t="s">
        <v>58</v>
      </c>
      <c r="L11" s="12" t="s">
        <v>58</v>
      </c>
      <c r="M11" s="4">
        <f>COUNTIF(J11:L11,"P")</f>
      </c>
    </row>
    <row r="12" ht="24" customHeight="1" spans="1:13" x14ac:dyDescent="0.25">
      <c r="A12" s="12">
        <v>9</v>
      </c>
      <c r="B12" s="13" t="s">
        <v>423</v>
      </c>
      <c r="C12" s="14" t="s">
        <v>424</v>
      </c>
      <c r="D12" s="13" t="s">
        <v>425</v>
      </c>
      <c r="E12" s="15" t="s">
        <v>426</v>
      </c>
      <c r="F12" s="13" t="s">
        <v>427</v>
      </c>
      <c r="G12" s="13" t="s">
        <v>427</v>
      </c>
      <c r="H12" s="13" t="s">
        <v>428</v>
      </c>
      <c r="I12" s="15" t="s">
        <v>429</v>
      </c>
      <c r="J12" s="12" t="s">
        <v>58</v>
      </c>
      <c r="K12" s="12" t="s">
        <v>58</v>
      </c>
      <c r="L12" s="12" t="s">
        <v>58</v>
      </c>
      <c r="M12" s="4">
        <f>COUNTIF(J12:L12,"P")</f>
      </c>
    </row>
    <row r="13" ht="24" customHeight="1" spans="1:13" x14ac:dyDescent="0.25">
      <c r="A13" s="12">
        <v>10</v>
      </c>
      <c r="B13" s="13" t="s">
        <v>58</v>
      </c>
      <c r="C13" s="14" t="s">
        <v>430</v>
      </c>
      <c r="D13" s="13" t="s">
        <v>431</v>
      </c>
      <c r="E13" s="15" t="s">
        <v>432</v>
      </c>
      <c r="F13" s="13" t="s">
        <v>433</v>
      </c>
      <c r="G13" s="13" t="s">
        <v>433</v>
      </c>
      <c r="H13" s="13" t="s">
        <v>58</v>
      </c>
      <c r="I13" s="15" t="s">
        <v>434</v>
      </c>
      <c r="J13" s="12" t="s">
        <v>58</v>
      </c>
      <c r="K13" s="12" t="s">
        <v>58</v>
      </c>
      <c r="L13" s="12" t="s">
        <v>58</v>
      </c>
      <c r="M13" s="4">
        <f>COUNTIF(J13:L13,"P")</f>
      </c>
    </row>
    <row r="14" ht="24" customHeight="1" spans="1:13" x14ac:dyDescent="0.25">
      <c r="A14" s="12">
        <v>11</v>
      </c>
      <c r="B14" s="13" t="s">
        <v>58</v>
      </c>
      <c r="C14" s="14" t="s">
        <v>435</v>
      </c>
      <c r="D14" s="13" t="s">
        <v>436</v>
      </c>
      <c r="E14" s="15" t="s">
        <v>437</v>
      </c>
      <c r="F14" s="13" t="s">
        <v>438</v>
      </c>
      <c r="G14" s="13" t="s">
        <v>438</v>
      </c>
      <c r="H14" s="13" t="s">
        <v>439</v>
      </c>
      <c r="I14" s="15" t="s">
        <v>440</v>
      </c>
      <c r="J14" s="12" t="s">
        <v>58</v>
      </c>
      <c r="K14" s="12" t="s">
        <v>58</v>
      </c>
      <c r="L14" s="12" t="s">
        <v>58</v>
      </c>
      <c r="M14" s="4">
        <f>COUNTIF(J14:L14,"P")</f>
      </c>
    </row>
    <row r="15" ht="26" customHeight="1" spans="1:13" x14ac:dyDescent="0.25">
      <c r="A15" s="16"/>
      <c r="B15" s="16"/>
      <c r="C15" s="17" t="s">
        <v>51</v>
      </c>
      <c r="D15" s="16"/>
      <c r="E15" s="16"/>
      <c r="F15" s="16"/>
      <c r="G15" s="16"/>
      <c r="H15" s="16"/>
      <c r="I15" s="16"/>
      <c r="J15" s="18">
        <f>COUNTIF(J4:J14,"P")</f>
      </c>
      <c r="K15" s="18">
        <f>COUNTIF(K4:K14,"P")</f>
      </c>
      <c r="L15" s="18">
        <f>COUNTIF(L4:L14,"P")</f>
      </c>
      <c r="M15" s="18">
        <f>SUM(M4:M14)</f>
      </c>
    </row>
  </sheetData>
  <mergeCells count="2">
    <mergeCell ref="A1:M1"/>
    <mergeCell ref="A2:M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8"/>
  <sheetViews>
    <sheetView workbookViewId="0">
      <pane xSplit="3" ySplit="3" topLeftCell="D4" activePane="bottomRight" state="frozen"/>
      <selection pane="bottomRight"/>
    </sheetView>
  </sheetViews>
  <sheetFormatPr defaultRowHeight="20" outlineLevelRow="0" outlineLevelCol="0" x14ac:dyDescent="55" customHeight="1"/>
  <cols>
    <col min="1" max="1" width="9.29" customWidth="1"/>
    <col min="2" max="2" width="10.14" customWidth="1"/>
    <col min="3" max="3" width="42.29" customWidth="1"/>
    <col min="4" max="4" width="14.86" customWidth="1"/>
    <col min="5" max="5" width="35.14" customWidth="1"/>
    <col min="6" max="6" width="15.86" customWidth="1"/>
    <col min="7" max="7" width="14.57" customWidth="1"/>
    <col min="8" max="8" width="17.57" customWidth="1"/>
    <col min="9" max="9" width="15.71" customWidth="1"/>
    <col min="10" max="12" width="11.57" customWidth="1"/>
    <col min="13" max="13" width="15" customWidth="1"/>
  </cols>
  <sheetData>
    <row r="1" ht="36" customHeight="1" spans="1:13" x14ac:dyDescent="0.25">
      <c r="A1" s="7" t="s">
        <v>40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ht="30" customHeight="1" spans="1:13" x14ac:dyDescent="0.25">
      <c r="A2" s="8" t="s">
        <v>441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ht="28" customHeight="1" spans="1:13" x14ac:dyDescent="0.25">
      <c r="A3" s="9" t="s">
        <v>42</v>
      </c>
      <c r="B3" s="9" t="s">
        <v>43</v>
      </c>
      <c r="C3" s="10" t="s">
        <v>44</v>
      </c>
      <c r="D3" s="9" t="s">
        <v>45</v>
      </c>
      <c r="E3" s="9" t="s">
        <v>46</v>
      </c>
      <c r="F3" s="9" t="s">
        <v>47</v>
      </c>
      <c r="G3" s="9" t="s">
        <v>48</v>
      </c>
      <c r="H3" s="9" t="s">
        <v>49</v>
      </c>
      <c r="I3" s="9" t="s">
        <v>50</v>
      </c>
      <c r="J3" s="11" t="s">
        <v>5</v>
      </c>
      <c r="K3" s="11" t="s">
        <v>6</v>
      </c>
      <c r="L3" s="11" t="s">
        <v>7</v>
      </c>
      <c r="M3" s="9" t="s">
        <v>51</v>
      </c>
    </row>
    <row r="4" ht="24" customHeight="1" spans="1:13" x14ac:dyDescent="0.25">
      <c r="A4" s="12">
        <v>1</v>
      </c>
      <c r="B4" s="13" t="s">
        <v>442</v>
      </c>
      <c r="C4" s="14" t="s">
        <v>443</v>
      </c>
      <c r="D4" s="13" t="s">
        <v>444</v>
      </c>
      <c r="E4" s="15" t="s">
        <v>445</v>
      </c>
      <c r="F4" s="13" t="s">
        <v>446</v>
      </c>
      <c r="G4" s="13" t="s">
        <v>446</v>
      </c>
      <c r="H4" s="13" t="s">
        <v>446</v>
      </c>
      <c r="I4" s="15" t="s">
        <v>447</v>
      </c>
      <c r="J4" s="12" t="s">
        <v>58</v>
      </c>
      <c r="K4" s="12" t="s">
        <v>58</v>
      </c>
      <c r="L4" s="12" t="s">
        <v>58</v>
      </c>
      <c r="M4" s="4">
        <f>COUNTIF(J4:L4,"P")</f>
      </c>
    </row>
    <row r="5" ht="24" customHeight="1" spans="1:13" x14ac:dyDescent="0.25">
      <c r="A5" s="12">
        <v>2</v>
      </c>
      <c r="B5" s="13" t="s">
        <v>448</v>
      </c>
      <c r="C5" s="14" t="s">
        <v>449</v>
      </c>
      <c r="D5" s="13" t="s">
        <v>450</v>
      </c>
      <c r="E5" s="15" t="s">
        <v>451</v>
      </c>
      <c r="F5" s="13" t="s">
        <v>452</v>
      </c>
      <c r="G5" s="13" t="s">
        <v>452</v>
      </c>
      <c r="H5" s="13" t="s">
        <v>453</v>
      </c>
      <c r="I5" s="15" t="s">
        <v>454</v>
      </c>
      <c r="J5" s="12" t="s">
        <v>58</v>
      </c>
      <c r="K5" s="12" t="s">
        <v>58</v>
      </c>
      <c r="L5" s="12" t="s">
        <v>58</v>
      </c>
      <c r="M5" s="4">
        <f>COUNTIF(J5:L5,"P")</f>
      </c>
    </row>
    <row r="6" ht="24" customHeight="1" spans="1:13" x14ac:dyDescent="0.25">
      <c r="A6" s="12">
        <v>3</v>
      </c>
      <c r="B6" s="13" t="s">
        <v>455</v>
      </c>
      <c r="C6" s="14" t="s">
        <v>456</v>
      </c>
      <c r="D6" s="13" t="s">
        <v>457</v>
      </c>
      <c r="E6" s="15" t="s">
        <v>451</v>
      </c>
      <c r="F6" s="13" t="s">
        <v>458</v>
      </c>
      <c r="G6" s="13" t="s">
        <v>459</v>
      </c>
      <c r="H6" s="13" t="s">
        <v>453</v>
      </c>
      <c r="I6" s="15" t="s">
        <v>57</v>
      </c>
      <c r="J6" s="12" t="s">
        <v>58</v>
      </c>
      <c r="K6" s="12" t="s">
        <v>58</v>
      </c>
      <c r="L6" s="12" t="s">
        <v>58</v>
      </c>
      <c r="M6" s="4">
        <f>COUNTIF(J6:L6,"P")</f>
      </c>
    </row>
    <row r="7" ht="24" customHeight="1" spans="1:13" x14ac:dyDescent="0.25">
      <c r="A7" s="12">
        <v>4</v>
      </c>
      <c r="B7" s="13" t="s">
        <v>460</v>
      </c>
      <c r="C7" s="14" t="s">
        <v>461</v>
      </c>
      <c r="D7" s="13" t="s">
        <v>462</v>
      </c>
      <c r="E7" s="15" t="s">
        <v>463</v>
      </c>
      <c r="F7" s="13" t="s">
        <v>464</v>
      </c>
      <c r="G7" s="13" t="s">
        <v>464</v>
      </c>
      <c r="H7" s="13" t="s">
        <v>465</v>
      </c>
      <c r="I7" s="15" t="s">
        <v>57</v>
      </c>
      <c r="J7" s="12" t="s">
        <v>58</v>
      </c>
      <c r="K7" s="12" t="s">
        <v>58</v>
      </c>
      <c r="L7" s="12" t="s">
        <v>58</v>
      </c>
      <c r="M7" s="4">
        <f>COUNTIF(J7:L7,"P")</f>
      </c>
    </row>
    <row r="8" ht="24" customHeight="1" spans="1:13" x14ac:dyDescent="0.25">
      <c r="A8" s="12">
        <v>5</v>
      </c>
      <c r="B8" s="13" t="s">
        <v>466</v>
      </c>
      <c r="C8" s="14" t="s">
        <v>467</v>
      </c>
      <c r="D8" s="13" t="s">
        <v>468</v>
      </c>
      <c r="E8" s="15" t="s">
        <v>469</v>
      </c>
      <c r="F8" s="13" t="s">
        <v>470</v>
      </c>
      <c r="G8" s="13" t="s">
        <v>470</v>
      </c>
      <c r="H8" s="13" t="s">
        <v>471</v>
      </c>
      <c r="I8" s="15" t="s">
        <v>472</v>
      </c>
      <c r="J8" s="12" t="s">
        <v>58</v>
      </c>
      <c r="K8" s="12" t="s">
        <v>58</v>
      </c>
      <c r="L8" s="12" t="s">
        <v>58</v>
      </c>
      <c r="M8" s="4">
        <f>COUNTIF(J8:L8,"P")</f>
      </c>
    </row>
    <row r="9" ht="24" customHeight="1" spans="1:13" x14ac:dyDescent="0.25">
      <c r="A9" s="12">
        <v>6</v>
      </c>
      <c r="B9" s="13" t="s">
        <v>58</v>
      </c>
      <c r="C9" s="14" t="s">
        <v>473</v>
      </c>
      <c r="D9" s="13" t="s">
        <v>474</v>
      </c>
      <c r="E9" s="15" t="s">
        <v>475</v>
      </c>
      <c r="F9" s="13" t="s">
        <v>476</v>
      </c>
      <c r="G9" s="13" t="s">
        <v>476</v>
      </c>
      <c r="H9" s="13" t="s">
        <v>58</v>
      </c>
      <c r="I9" s="15" t="s">
        <v>165</v>
      </c>
      <c r="J9" s="12" t="s">
        <v>58</v>
      </c>
      <c r="K9" s="12" t="s">
        <v>58</v>
      </c>
      <c r="L9" s="12" t="s">
        <v>58</v>
      </c>
      <c r="M9" s="4">
        <f>COUNTIF(J9:L9,"P")</f>
      </c>
    </row>
    <row r="10" ht="24" customHeight="1" spans="1:13" x14ac:dyDescent="0.25">
      <c r="A10" s="12">
        <v>7</v>
      </c>
      <c r="B10" s="13" t="s">
        <v>58</v>
      </c>
      <c r="C10" s="14" t="s">
        <v>477</v>
      </c>
      <c r="D10" s="13" t="s">
        <v>478</v>
      </c>
      <c r="E10" s="15" t="s">
        <v>479</v>
      </c>
      <c r="F10" s="13" t="s">
        <v>480</v>
      </c>
      <c r="G10" s="13" t="s">
        <v>480</v>
      </c>
      <c r="H10" s="13" t="s">
        <v>58</v>
      </c>
      <c r="I10" s="15" t="s">
        <v>213</v>
      </c>
      <c r="J10" s="12" t="s">
        <v>58</v>
      </c>
      <c r="K10" s="12" t="s">
        <v>58</v>
      </c>
      <c r="L10" s="12" t="s">
        <v>58</v>
      </c>
      <c r="M10" s="4">
        <f>COUNTIF(J10:L10,"P")</f>
      </c>
    </row>
    <row r="11" ht="24" customHeight="1" spans="1:13" x14ac:dyDescent="0.25">
      <c r="A11" s="12">
        <v>8</v>
      </c>
      <c r="B11" s="13" t="s">
        <v>58</v>
      </c>
      <c r="C11" s="14" t="s">
        <v>481</v>
      </c>
      <c r="D11" s="13" t="s">
        <v>58</v>
      </c>
      <c r="E11" s="15" t="s">
        <v>475</v>
      </c>
      <c r="F11" s="13" t="s">
        <v>476</v>
      </c>
      <c r="G11" s="13" t="s">
        <v>58</v>
      </c>
      <c r="H11" s="13" t="s">
        <v>58</v>
      </c>
      <c r="I11" s="15" t="s">
        <v>159</v>
      </c>
      <c r="J11" s="12" t="s">
        <v>58</v>
      </c>
      <c r="K11" s="12" t="s">
        <v>58</v>
      </c>
      <c r="L11" s="12" t="s">
        <v>58</v>
      </c>
      <c r="M11" s="4">
        <f>COUNTIF(J11:L11,"P")</f>
      </c>
    </row>
    <row r="12" ht="24" customHeight="1" spans="1:13" x14ac:dyDescent="0.25">
      <c r="A12" s="12">
        <v>9</v>
      </c>
      <c r="B12" s="13" t="s">
        <v>58</v>
      </c>
      <c r="C12" s="14" t="s">
        <v>482</v>
      </c>
      <c r="D12" s="13" t="s">
        <v>58</v>
      </c>
      <c r="E12" s="15" t="s">
        <v>483</v>
      </c>
      <c r="F12" s="13" t="s">
        <v>484</v>
      </c>
      <c r="G12" s="13" t="s">
        <v>58</v>
      </c>
      <c r="H12" s="13" t="s">
        <v>58</v>
      </c>
      <c r="I12" s="15" t="s">
        <v>159</v>
      </c>
      <c r="J12" s="12" t="s">
        <v>58</v>
      </c>
      <c r="K12" s="12" t="s">
        <v>58</v>
      </c>
      <c r="L12" s="12" t="s">
        <v>58</v>
      </c>
      <c r="M12" s="4">
        <f>COUNTIF(J12:L12,"P")</f>
      </c>
    </row>
    <row r="13" ht="24" customHeight="1" spans="1:13" x14ac:dyDescent="0.25">
      <c r="A13" s="12">
        <v>10</v>
      </c>
      <c r="B13" s="13" t="s">
        <v>58</v>
      </c>
      <c r="C13" s="14" t="s">
        <v>485</v>
      </c>
      <c r="D13" s="13" t="s">
        <v>58</v>
      </c>
      <c r="E13" s="15" t="s">
        <v>486</v>
      </c>
      <c r="F13" s="13" t="s">
        <v>487</v>
      </c>
      <c r="G13" s="13" t="s">
        <v>58</v>
      </c>
      <c r="H13" s="13" t="s">
        <v>58</v>
      </c>
      <c r="I13" s="15" t="s">
        <v>58</v>
      </c>
      <c r="J13" s="12" t="s">
        <v>58</v>
      </c>
      <c r="K13" s="12" t="s">
        <v>58</v>
      </c>
      <c r="L13" s="12" t="s">
        <v>58</v>
      </c>
      <c r="M13" s="4">
        <f>COUNTIF(J13:L13,"P")</f>
      </c>
    </row>
    <row r="14" ht="24" customHeight="1" spans="1:13" x14ac:dyDescent="0.25">
      <c r="A14" s="12">
        <v>11</v>
      </c>
      <c r="B14" s="13" t="s">
        <v>58</v>
      </c>
      <c r="C14" s="14" t="s">
        <v>488</v>
      </c>
      <c r="D14" s="13" t="s">
        <v>58</v>
      </c>
      <c r="E14" s="15" t="s">
        <v>489</v>
      </c>
      <c r="F14" s="13" t="s">
        <v>490</v>
      </c>
      <c r="G14" s="13" t="s">
        <v>58</v>
      </c>
      <c r="H14" s="13" t="s">
        <v>58</v>
      </c>
      <c r="I14" s="15" t="s">
        <v>58</v>
      </c>
      <c r="J14" s="12" t="s">
        <v>58</v>
      </c>
      <c r="K14" s="12" t="s">
        <v>58</v>
      </c>
      <c r="L14" s="12" t="s">
        <v>58</v>
      </c>
      <c r="M14" s="4">
        <f>COUNTIF(J14:L14,"P")</f>
      </c>
    </row>
    <row r="15" ht="24" customHeight="1" spans="1:13" x14ac:dyDescent="0.25">
      <c r="A15" s="12">
        <v>12</v>
      </c>
      <c r="B15" s="13" t="s">
        <v>58</v>
      </c>
      <c r="C15" s="14" t="s">
        <v>491</v>
      </c>
      <c r="D15" s="13" t="s">
        <v>58</v>
      </c>
      <c r="E15" s="15" t="s">
        <v>492</v>
      </c>
      <c r="F15" s="13" t="s">
        <v>493</v>
      </c>
      <c r="G15" s="13" t="s">
        <v>493</v>
      </c>
      <c r="H15" s="13" t="s">
        <v>493</v>
      </c>
      <c r="I15" s="15" t="s">
        <v>165</v>
      </c>
      <c r="J15" s="12" t="s">
        <v>58</v>
      </c>
      <c r="K15" s="12" t="s">
        <v>58</v>
      </c>
      <c r="L15" s="12" t="s">
        <v>58</v>
      </c>
      <c r="M15" s="4">
        <f>COUNTIF(J15:L15,"P")</f>
      </c>
    </row>
    <row r="16" ht="24" customHeight="1" spans="1:13" x14ac:dyDescent="0.25">
      <c r="A16" s="12">
        <v>13</v>
      </c>
      <c r="B16" s="13" t="s">
        <v>58</v>
      </c>
      <c r="C16" s="14" t="s">
        <v>494</v>
      </c>
      <c r="D16" s="13" t="s">
        <v>58</v>
      </c>
      <c r="E16" s="15" t="s">
        <v>495</v>
      </c>
      <c r="F16" s="13" t="s">
        <v>496</v>
      </c>
      <c r="G16" s="13" t="s">
        <v>496</v>
      </c>
      <c r="H16" s="13" t="s">
        <v>496</v>
      </c>
      <c r="I16" s="15" t="s">
        <v>165</v>
      </c>
      <c r="J16" s="12" t="s">
        <v>58</v>
      </c>
      <c r="K16" s="12" t="s">
        <v>58</v>
      </c>
      <c r="L16" s="12" t="s">
        <v>58</v>
      </c>
      <c r="M16" s="4">
        <f>COUNTIF(J16:L16,"P")</f>
      </c>
    </row>
    <row r="17" ht="24" customHeight="1" spans="1:13" x14ac:dyDescent="0.25">
      <c r="A17" s="12">
        <v>14</v>
      </c>
      <c r="B17" s="13" t="s">
        <v>58</v>
      </c>
      <c r="C17" s="14" t="s">
        <v>497</v>
      </c>
      <c r="D17" s="13" t="s">
        <v>58</v>
      </c>
      <c r="E17" s="15" t="s">
        <v>58</v>
      </c>
      <c r="F17" s="13" t="s">
        <v>58</v>
      </c>
      <c r="G17" s="13" t="s">
        <v>58</v>
      </c>
      <c r="H17" s="13" t="s">
        <v>58</v>
      </c>
      <c r="I17" s="15" t="s">
        <v>58</v>
      </c>
      <c r="J17" s="12" t="s">
        <v>58</v>
      </c>
      <c r="K17" s="12" t="s">
        <v>58</v>
      </c>
      <c r="L17" s="12" t="s">
        <v>58</v>
      </c>
      <c r="M17" s="4">
        <f>COUNTIF(J17:L17,"P")</f>
      </c>
    </row>
    <row r="18" ht="26" customHeight="1" spans="1:13" x14ac:dyDescent="0.25">
      <c r="A18" s="16"/>
      <c r="B18" s="16"/>
      <c r="C18" s="17" t="s">
        <v>51</v>
      </c>
      <c r="D18" s="16"/>
      <c r="E18" s="16"/>
      <c r="F18" s="16"/>
      <c r="G18" s="16"/>
      <c r="H18" s="16"/>
      <c r="I18" s="16"/>
      <c r="J18" s="18">
        <f>COUNTIF(J4:J17,"P")</f>
      </c>
      <c r="K18" s="18">
        <f>COUNTIF(K4:K17,"P")</f>
      </c>
      <c r="L18" s="18">
        <f>COUNTIF(L4:L17,"P")</f>
      </c>
      <c r="M18" s="18">
        <f>SUM(M4:M17)</f>
      </c>
    </row>
  </sheetData>
  <mergeCells count="2">
    <mergeCell ref="A1:M1"/>
    <mergeCell ref="A2:M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3"/>
  <sheetViews>
    <sheetView workbookViewId="0">
      <pane xSplit="3" ySplit="3" topLeftCell="D4" activePane="bottomRight" state="frozen"/>
      <selection pane="bottomRight"/>
    </sheetView>
  </sheetViews>
  <sheetFormatPr defaultRowHeight="20" outlineLevelRow="0" outlineLevelCol="0" x14ac:dyDescent="55" customHeight="1"/>
  <cols>
    <col min="1" max="1" width="9.29" customWidth="1"/>
    <col min="2" max="2" width="10.14" customWidth="1"/>
    <col min="3" max="3" width="42.29" customWidth="1"/>
    <col min="4" max="4" width="14.86" customWidth="1"/>
    <col min="5" max="5" width="35.14" customWidth="1"/>
    <col min="6" max="6" width="15.86" customWidth="1"/>
    <col min="7" max="7" width="14.57" customWidth="1"/>
    <col min="8" max="8" width="17.57" customWidth="1"/>
    <col min="9" max="9" width="15.71" customWidth="1"/>
    <col min="10" max="12" width="11.57" customWidth="1"/>
    <col min="13" max="13" width="15" customWidth="1"/>
  </cols>
  <sheetData>
    <row r="1" ht="36" customHeight="1" spans="1:13" x14ac:dyDescent="0.25">
      <c r="A1" s="7" t="s">
        <v>40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ht="30" customHeight="1" spans="1:13" x14ac:dyDescent="0.25">
      <c r="A2" s="8" t="s">
        <v>498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ht="28" customHeight="1" spans="1:13" x14ac:dyDescent="0.25">
      <c r="A3" s="9" t="s">
        <v>42</v>
      </c>
      <c r="B3" s="9" t="s">
        <v>43</v>
      </c>
      <c r="C3" s="10" t="s">
        <v>44</v>
      </c>
      <c r="D3" s="9" t="s">
        <v>45</v>
      </c>
      <c r="E3" s="9" t="s">
        <v>46</v>
      </c>
      <c r="F3" s="9" t="s">
        <v>47</v>
      </c>
      <c r="G3" s="9" t="s">
        <v>48</v>
      </c>
      <c r="H3" s="9" t="s">
        <v>49</v>
      </c>
      <c r="I3" s="9" t="s">
        <v>50</v>
      </c>
      <c r="J3" s="11" t="s">
        <v>5</v>
      </c>
      <c r="K3" s="11" t="s">
        <v>6</v>
      </c>
      <c r="L3" s="11" t="s">
        <v>7</v>
      </c>
      <c r="M3" s="9" t="s">
        <v>51</v>
      </c>
    </row>
    <row r="4" ht="24" customHeight="1" spans="1:13" x14ac:dyDescent="0.25">
      <c r="A4" s="12">
        <v>1</v>
      </c>
      <c r="B4" s="13" t="s">
        <v>499</v>
      </c>
      <c r="C4" s="14" t="s">
        <v>500</v>
      </c>
      <c r="D4" s="13" t="s">
        <v>501</v>
      </c>
      <c r="E4" s="15" t="s">
        <v>502</v>
      </c>
      <c r="F4" s="13" t="s">
        <v>503</v>
      </c>
      <c r="G4" s="13" t="s">
        <v>503</v>
      </c>
      <c r="H4" s="13" t="s">
        <v>504</v>
      </c>
      <c r="I4" s="15" t="s">
        <v>505</v>
      </c>
      <c r="J4" s="12" t="s">
        <v>58</v>
      </c>
      <c r="K4" s="12" t="s">
        <v>58</v>
      </c>
      <c r="L4" s="12" t="s">
        <v>58</v>
      </c>
      <c r="M4" s="4">
        <f>COUNTIF(J4:L4,"P")</f>
      </c>
    </row>
    <row r="5" ht="24" customHeight="1" spans="1:13" x14ac:dyDescent="0.25">
      <c r="A5" s="12">
        <v>2</v>
      </c>
      <c r="B5" s="13" t="s">
        <v>506</v>
      </c>
      <c r="C5" s="14" t="s">
        <v>507</v>
      </c>
      <c r="D5" s="13" t="s">
        <v>508</v>
      </c>
      <c r="E5" s="15" t="s">
        <v>509</v>
      </c>
      <c r="F5" s="13" t="s">
        <v>510</v>
      </c>
      <c r="G5" s="13" t="s">
        <v>510</v>
      </c>
      <c r="H5" s="13" t="s">
        <v>511</v>
      </c>
      <c r="I5" s="15" t="s">
        <v>512</v>
      </c>
      <c r="J5" s="12" t="s">
        <v>58</v>
      </c>
      <c r="K5" s="12" t="s">
        <v>58</v>
      </c>
      <c r="L5" s="12" t="s">
        <v>58</v>
      </c>
      <c r="M5" s="4">
        <f>COUNTIF(J5:L5,"P")</f>
      </c>
    </row>
    <row r="6" ht="24" customHeight="1" spans="1:13" x14ac:dyDescent="0.25">
      <c r="A6" s="12">
        <v>3</v>
      </c>
      <c r="B6" s="13" t="s">
        <v>513</v>
      </c>
      <c r="C6" s="14" t="s">
        <v>514</v>
      </c>
      <c r="D6" s="13" t="s">
        <v>515</v>
      </c>
      <c r="E6" s="15" t="s">
        <v>516</v>
      </c>
      <c r="F6" s="13" t="s">
        <v>517</v>
      </c>
      <c r="G6" s="13" t="s">
        <v>517</v>
      </c>
      <c r="H6" s="13" t="s">
        <v>518</v>
      </c>
      <c r="I6" s="15" t="s">
        <v>57</v>
      </c>
      <c r="J6" s="12" t="s">
        <v>58</v>
      </c>
      <c r="K6" s="12" t="s">
        <v>58</v>
      </c>
      <c r="L6" s="12" t="s">
        <v>58</v>
      </c>
      <c r="M6" s="4">
        <f>COUNTIF(J6:L6,"P")</f>
      </c>
    </row>
    <row r="7" ht="24" customHeight="1" spans="1:13" x14ac:dyDescent="0.25">
      <c r="A7" s="12">
        <v>4</v>
      </c>
      <c r="B7" s="13" t="s">
        <v>519</v>
      </c>
      <c r="C7" s="14" t="s">
        <v>520</v>
      </c>
      <c r="D7" s="13" t="s">
        <v>521</v>
      </c>
      <c r="E7" s="15" t="s">
        <v>522</v>
      </c>
      <c r="F7" s="13" t="s">
        <v>523</v>
      </c>
      <c r="G7" s="13" t="s">
        <v>523</v>
      </c>
      <c r="H7" s="13" t="s">
        <v>524</v>
      </c>
      <c r="I7" s="15" t="s">
        <v>525</v>
      </c>
      <c r="J7" s="12" t="s">
        <v>58</v>
      </c>
      <c r="K7" s="12" t="s">
        <v>58</v>
      </c>
      <c r="L7" s="12" t="s">
        <v>58</v>
      </c>
      <c r="M7" s="4">
        <f>COUNTIF(J7:L7,"P")</f>
      </c>
    </row>
    <row r="8" ht="24" customHeight="1" spans="1:13" x14ac:dyDescent="0.25">
      <c r="A8" s="12">
        <v>5</v>
      </c>
      <c r="B8" s="13" t="s">
        <v>526</v>
      </c>
      <c r="C8" s="14" t="s">
        <v>527</v>
      </c>
      <c r="D8" s="13" t="s">
        <v>528</v>
      </c>
      <c r="E8" s="15" t="s">
        <v>529</v>
      </c>
      <c r="F8" s="13" t="s">
        <v>530</v>
      </c>
      <c r="G8" s="13" t="s">
        <v>530</v>
      </c>
      <c r="H8" s="13" t="s">
        <v>531</v>
      </c>
      <c r="I8" s="15" t="s">
        <v>57</v>
      </c>
      <c r="J8" s="12" t="s">
        <v>58</v>
      </c>
      <c r="K8" s="12" t="s">
        <v>58</v>
      </c>
      <c r="L8" s="12" t="s">
        <v>58</v>
      </c>
      <c r="M8" s="4">
        <f>COUNTIF(J8:L8,"P")</f>
      </c>
    </row>
    <row r="9" ht="24" customHeight="1" spans="1:13" x14ac:dyDescent="0.25">
      <c r="A9" s="12">
        <v>6</v>
      </c>
      <c r="B9" s="13" t="s">
        <v>532</v>
      </c>
      <c r="C9" s="14" t="s">
        <v>533</v>
      </c>
      <c r="D9" s="13" t="s">
        <v>534</v>
      </c>
      <c r="E9" s="15" t="s">
        <v>535</v>
      </c>
      <c r="F9" s="13" t="s">
        <v>536</v>
      </c>
      <c r="G9" s="13" t="s">
        <v>536</v>
      </c>
      <c r="H9" s="13" t="s">
        <v>537</v>
      </c>
      <c r="I9" s="15" t="s">
        <v>538</v>
      </c>
      <c r="J9" s="12" t="s">
        <v>58</v>
      </c>
      <c r="K9" s="12" t="s">
        <v>58</v>
      </c>
      <c r="L9" s="12" t="s">
        <v>58</v>
      </c>
      <c r="M9" s="4">
        <f>COUNTIF(J9:L9,"P")</f>
      </c>
    </row>
    <row r="10" ht="24" customHeight="1" spans="1:13" x14ac:dyDescent="0.25">
      <c r="A10" s="12">
        <v>7</v>
      </c>
      <c r="B10" s="13" t="s">
        <v>539</v>
      </c>
      <c r="C10" s="14" t="s">
        <v>540</v>
      </c>
      <c r="D10" s="13" t="s">
        <v>541</v>
      </c>
      <c r="E10" s="15" t="s">
        <v>542</v>
      </c>
      <c r="F10" s="13" t="s">
        <v>543</v>
      </c>
      <c r="G10" s="13" t="s">
        <v>543</v>
      </c>
      <c r="H10" s="13" t="s">
        <v>544</v>
      </c>
      <c r="I10" s="15" t="s">
        <v>545</v>
      </c>
      <c r="J10" s="12" t="s">
        <v>58</v>
      </c>
      <c r="K10" s="12" t="s">
        <v>58</v>
      </c>
      <c r="L10" s="12" t="s">
        <v>58</v>
      </c>
      <c r="M10" s="4">
        <f>COUNTIF(J10:L10,"P")</f>
      </c>
    </row>
    <row r="11" ht="24" customHeight="1" spans="1:13" x14ac:dyDescent="0.25">
      <c r="A11" s="12">
        <v>8</v>
      </c>
      <c r="B11" s="13" t="s">
        <v>546</v>
      </c>
      <c r="C11" s="14" t="s">
        <v>547</v>
      </c>
      <c r="D11" s="13" t="s">
        <v>548</v>
      </c>
      <c r="E11" s="15" t="s">
        <v>549</v>
      </c>
      <c r="F11" s="13" t="s">
        <v>550</v>
      </c>
      <c r="G11" s="13" t="s">
        <v>550</v>
      </c>
      <c r="H11" s="13" t="s">
        <v>551</v>
      </c>
      <c r="I11" s="15" t="s">
        <v>57</v>
      </c>
      <c r="J11" s="12" t="s">
        <v>58</v>
      </c>
      <c r="K11" s="12" t="s">
        <v>58</v>
      </c>
      <c r="L11" s="12" t="s">
        <v>58</v>
      </c>
      <c r="M11" s="4">
        <f>COUNTIF(J11:L11,"P")</f>
      </c>
    </row>
    <row r="12" ht="24" customHeight="1" spans="1:13" x14ac:dyDescent="0.25">
      <c r="A12" s="12">
        <v>9</v>
      </c>
      <c r="B12" s="13" t="s">
        <v>58</v>
      </c>
      <c r="C12" s="14" t="s">
        <v>552</v>
      </c>
      <c r="D12" s="13" t="s">
        <v>58</v>
      </c>
      <c r="E12" s="15" t="s">
        <v>553</v>
      </c>
      <c r="F12" s="13" t="s">
        <v>554</v>
      </c>
      <c r="G12" s="13" t="s">
        <v>58</v>
      </c>
      <c r="H12" s="13" t="s">
        <v>58</v>
      </c>
      <c r="I12" s="15" t="s">
        <v>58</v>
      </c>
      <c r="J12" s="12" t="s">
        <v>58</v>
      </c>
      <c r="K12" s="12" t="s">
        <v>58</v>
      </c>
      <c r="L12" s="12" t="s">
        <v>58</v>
      </c>
      <c r="M12" s="4">
        <f>COUNTIF(J12:L12,"P")</f>
      </c>
    </row>
    <row r="13" ht="26" customHeight="1" spans="1:13" x14ac:dyDescent="0.25">
      <c r="A13" s="16"/>
      <c r="B13" s="16"/>
      <c r="C13" s="17" t="s">
        <v>51</v>
      </c>
      <c r="D13" s="16"/>
      <c r="E13" s="16"/>
      <c r="F13" s="16"/>
      <c r="G13" s="16"/>
      <c r="H13" s="16"/>
      <c r="I13" s="16"/>
      <c r="J13" s="18">
        <f>COUNTIF(J4:J12,"P")</f>
      </c>
      <c r="K13" s="18">
        <f>COUNTIF(K4:K12,"P")</f>
      </c>
      <c r="L13" s="18">
        <f>COUNTIF(L4:L12,"P")</f>
      </c>
      <c r="M13" s="18">
        <f>SUM(M4:M12)</f>
      </c>
    </row>
  </sheetData>
  <mergeCells count="2">
    <mergeCell ref="A1:M1"/>
    <mergeCell ref="A2:M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"/>
  <sheetViews>
    <sheetView workbookViewId="0">
      <pane xSplit="3" ySplit="3" topLeftCell="D4" activePane="bottomRight" state="frozen"/>
      <selection pane="bottomRight"/>
    </sheetView>
  </sheetViews>
  <sheetFormatPr defaultRowHeight="20" outlineLevelRow="0" outlineLevelCol="0" x14ac:dyDescent="55" customHeight="1"/>
  <cols>
    <col min="1" max="1" width="9.29" customWidth="1"/>
    <col min="2" max="2" width="10.14" customWidth="1"/>
    <col min="3" max="3" width="42.29" customWidth="1"/>
    <col min="4" max="4" width="14.86" customWidth="1"/>
    <col min="5" max="5" width="35.14" customWidth="1"/>
    <col min="6" max="6" width="15.86" customWidth="1"/>
    <col min="7" max="7" width="14.57" customWidth="1"/>
    <col min="8" max="8" width="17.57" customWidth="1"/>
    <col min="9" max="9" width="15.71" customWidth="1"/>
    <col min="10" max="12" width="11.57" customWidth="1"/>
    <col min="13" max="13" width="15" customWidth="1"/>
  </cols>
  <sheetData>
    <row r="1" ht="36" customHeight="1" spans="1:13" x14ac:dyDescent="0.25">
      <c r="A1" s="7" t="s">
        <v>40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ht="30" customHeight="1" spans="1:13" x14ac:dyDescent="0.25">
      <c r="A2" s="8" t="s">
        <v>555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ht="28" customHeight="1" spans="1:13" x14ac:dyDescent="0.25">
      <c r="A3" s="9" t="s">
        <v>42</v>
      </c>
      <c r="B3" s="9" t="s">
        <v>43</v>
      </c>
      <c r="C3" s="10" t="s">
        <v>44</v>
      </c>
      <c r="D3" s="9" t="s">
        <v>45</v>
      </c>
      <c r="E3" s="9" t="s">
        <v>46</v>
      </c>
      <c r="F3" s="9" t="s">
        <v>47</v>
      </c>
      <c r="G3" s="9" t="s">
        <v>48</v>
      </c>
      <c r="H3" s="9" t="s">
        <v>49</v>
      </c>
      <c r="I3" s="9" t="s">
        <v>50</v>
      </c>
      <c r="J3" s="11" t="s">
        <v>5</v>
      </c>
      <c r="K3" s="11" t="s">
        <v>6</v>
      </c>
      <c r="L3" s="11" t="s">
        <v>7</v>
      </c>
      <c r="M3" s="9" t="s">
        <v>51</v>
      </c>
    </row>
    <row r="4" ht="24" customHeight="1" spans="1:13" x14ac:dyDescent="0.25">
      <c r="A4" s="12">
        <v>1</v>
      </c>
      <c r="B4" s="13" t="s">
        <v>58</v>
      </c>
      <c r="C4" s="14" t="s">
        <v>556</v>
      </c>
      <c r="D4" s="13" t="s">
        <v>58</v>
      </c>
      <c r="E4" s="15" t="s">
        <v>557</v>
      </c>
      <c r="F4" s="13" t="s">
        <v>558</v>
      </c>
      <c r="G4" s="13" t="s">
        <v>558</v>
      </c>
      <c r="H4" s="13" t="s">
        <v>558</v>
      </c>
      <c r="I4" s="15" t="s">
        <v>165</v>
      </c>
      <c r="J4" s="12" t="s">
        <v>58</v>
      </c>
      <c r="K4" s="12" t="s">
        <v>58</v>
      </c>
      <c r="L4" s="12" t="s">
        <v>58</v>
      </c>
      <c r="M4" s="4">
        <f>COUNTIF(J4:L4,"P")</f>
      </c>
    </row>
    <row r="5" ht="24" customHeight="1" spans="1:13" x14ac:dyDescent="0.25">
      <c r="A5" s="12">
        <v>2</v>
      </c>
      <c r="B5" s="13" t="s">
        <v>58</v>
      </c>
      <c r="C5" s="14" t="s">
        <v>559</v>
      </c>
      <c r="D5" s="13" t="s">
        <v>58</v>
      </c>
      <c r="E5" s="15" t="s">
        <v>58</v>
      </c>
      <c r="F5" s="13" t="s">
        <v>560</v>
      </c>
      <c r="G5" s="13" t="s">
        <v>58</v>
      </c>
      <c r="H5" s="13" t="s">
        <v>58</v>
      </c>
      <c r="I5" s="15" t="s">
        <v>58</v>
      </c>
      <c r="J5" s="12" t="s">
        <v>58</v>
      </c>
      <c r="K5" s="12" t="s">
        <v>58</v>
      </c>
      <c r="L5" s="12" t="s">
        <v>58</v>
      </c>
      <c r="M5" s="4">
        <f>COUNTIF(J5:L5,"P")</f>
      </c>
    </row>
    <row r="6" ht="24" customHeight="1" spans="1:13" x14ac:dyDescent="0.25">
      <c r="A6" s="12">
        <v>3</v>
      </c>
      <c r="B6" s="13" t="s">
        <v>58</v>
      </c>
      <c r="C6" s="14" t="s">
        <v>561</v>
      </c>
      <c r="D6" s="13" t="s">
        <v>58</v>
      </c>
      <c r="E6" s="15" t="s">
        <v>562</v>
      </c>
      <c r="F6" s="13" t="s">
        <v>563</v>
      </c>
      <c r="G6" s="13" t="s">
        <v>563</v>
      </c>
      <c r="H6" s="13" t="s">
        <v>563</v>
      </c>
      <c r="I6" s="15" t="s">
        <v>165</v>
      </c>
      <c r="J6" s="12" t="s">
        <v>58</v>
      </c>
      <c r="K6" s="12" t="s">
        <v>58</v>
      </c>
      <c r="L6" s="12" t="s">
        <v>58</v>
      </c>
      <c r="M6" s="4">
        <f>COUNTIF(J6:L6,"P")</f>
      </c>
    </row>
    <row r="7" ht="24" customHeight="1" spans="1:13" x14ac:dyDescent="0.25">
      <c r="A7" s="12">
        <v>4</v>
      </c>
      <c r="B7" s="13" t="s">
        <v>58</v>
      </c>
      <c r="C7" s="14" t="s">
        <v>564</v>
      </c>
      <c r="D7" s="13" t="s">
        <v>58</v>
      </c>
      <c r="E7" s="15" t="s">
        <v>58</v>
      </c>
      <c r="F7" s="13" t="s">
        <v>565</v>
      </c>
      <c r="G7" s="13" t="s">
        <v>58</v>
      </c>
      <c r="H7" s="13" t="s">
        <v>58</v>
      </c>
      <c r="I7" s="15" t="s">
        <v>58</v>
      </c>
      <c r="J7" s="12" t="s">
        <v>58</v>
      </c>
      <c r="K7" s="12" t="s">
        <v>58</v>
      </c>
      <c r="L7" s="12" t="s">
        <v>58</v>
      </c>
      <c r="M7" s="4">
        <f>COUNTIF(J7:L7,"P")</f>
      </c>
    </row>
    <row r="8" ht="24" customHeight="1" spans="1:13" x14ac:dyDescent="0.25">
      <c r="A8" s="12">
        <v>5</v>
      </c>
      <c r="B8" s="13" t="s">
        <v>58</v>
      </c>
      <c r="C8" s="14" t="s">
        <v>566</v>
      </c>
      <c r="D8" s="13" t="s">
        <v>58</v>
      </c>
      <c r="E8" s="15" t="s">
        <v>567</v>
      </c>
      <c r="F8" s="13" t="s">
        <v>568</v>
      </c>
      <c r="G8" s="13" t="s">
        <v>568</v>
      </c>
      <c r="H8" s="13" t="s">
        <v>568</v>
      </c>
      <c r="I8" s="15" t="s">
        <v>213</v>
      </c>
      <c r="J8" s="12" t="s">
        <v>58</v>
      </c>
      <c r="K8" s="12" t="s">
        <v>58</v>
      </c>
      <c r="L8" s="12" t="s">
        <v>58</v>
      </c>
      <c r="M8" s="4">
        <f>COUNTIF(J8:L8,"P")</f>
      </c>
    </row>
    <row r="9" ht="26" customHeight="1" spans="1:13" x14ac:dyDescent="0.25">
      <c r="A9" s="16"/>
      <c r="B9" s="16"/>
      <c r="C9" s="17" t="s">
        <v>51</v>
      </c>
      <c r="D9" s="16"/>
      <c r="E9" s="16"/>
      <c r="F9" s="16"/>
      <c r="G9" s="16"/>
      <c r="H9" s="16"/>
      <c r="I9" s="16"/>
      <c r="J9" s="18">
        <f>COUNTIF(J4:J8,"P")</f>
      </c>
      <c r="K9" s="18">
        <f>COUNTIF(K4:K8,"P")</f>
      </c>
      <c r="L9" s="18">
        <f>COUNTIF(L4:L8,"P")</f>
      </c>
      <c r="M9" s="18">
        <f>SUM(M4:M8)</f>
      </c>
    </row>
  </sheetData>
  <mergeCells count="2">
    <mergeCell ref="A1:M1"/>
    <mergeCell ref="A2:M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7"/>
  <sheetViews>
    <sheetView workbookViewId="0">
      <pane xSplit="3" ySplit="3" topLeftCell="D4" activePane="bottomRight" state="frozen"/>
      <selection pane="bottomRight"/>
    </sheetView>
  </sheetViews>
  <sheetFormatPr defaultRowHeight="20" outlineLevelRow="0" outlineLevelCol="0" x14ac:dyDescent="55" customHeight="1"/>
  <cols>
    <col min="1" max="1" width="9.29" customWidth="1"/>
    <col min="2" max="2" width="10.14" customWidth="1"/>
    <col min="3" max="3" width="42.29" customWidth="1"/>
    <col min="4" max="4" width="14.86" customWidth="1"/>
    <col min="5" max="5" width="35.14" customWidth="1"/>
    <col min="6" max="6" width="15.86" customWidth="1"/>
    <col min="7" max="7" width="14.57" customWidth="1"/>
    <col min="8" max="8" width="17.57" customWidth="1"/>
    <col min="9" max="9" width="15.71" customWidth="1"/>
    <col min="10" max="12" width="11.57" customWidth="1"/>
    <col min="13" max="13" width="15" customWidth="1"/>
  </cols>
  <sheetData>
    <row r="1" ht="36" customHeight="1" spans="1:13" x14ac:dyDescent="0.25">
      <c r="A1" s="7" t="s">
        <v>40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ht="30" customHeight="1" spans="1:13" x14ac:dyDescent="0.25">
      <c r="A2" s="8" t="s">
        <v>569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ht="28" customHeight="1" spans="1:13" x14ac:dyDescent="0.25">
      <c r="A3" s="9" t="s">
        <v>42</v>
      </c>
      <c r="B3" s="9" t="s">
        <v>43</v>
      </c>
      <c r="C3" s="10" t="s">
        <v>44</v>
      </c>
      <c r="D3" s="9" t="s">
        <v>45</v>
      </c>
      <c r="E3" s="9" t="s">
        <v>46</v>
      </c>
      <c r="F3" s="9" t="s">
        <v>47</v>
      </c>
      <c r="G3" s="9" t="s">
        <v>48</v>
      </c>
      <c r="H3" s="9" t="s">
        <v>49</v>
      </c>
      <c r="I3" s="9" t="s">
        <v>50</v>
      </c>
      <c r="J3" s="11" t="s">
        <v>5</v>
      </c>
      <c r="K3" s="11" t="s">
        <v>6</v>
      </c>
      <c r="L3" s="11" t="s">
        <v>7</v>
      </c>
      <c r="M3" s="9" t="s">
        <v>51</v>
      </c>
    </row>
    <row r="4" ht="24" customHeight="1" spans="1:13" x14ac:dyDescent="0.25">
      <c r="A4" s="12">
        <v>1</v>
      </c>
      <c r="B4" s="13" t="s">
        <v>570</v>
      </c>
      <c r="C4" s="14" t="s">
        <v>571</v>
      </c>
      <c r="D4" s="13" t="s">
        <v>572</v>
      </c>
      <c r="E4" s="15" t="s">
        <v>573</v>
      </c>
      <c r="F4" s="13" t="s">
        <v>574</v>
      </c>
      <c r="G4" s="13" t="s">
        <v>574</v>
      </c>
      <c r="H4" s="13" t="s">
        <v>574</v>
      </c>
      <c r="I4" s="15" t="s">
        <v>575</v>
      </c>
      <c r="J4" s="12" t="s">
        <v>58</v>
      </c>
      <c r="K4" s="12" t="s">
        <v>58</v>
      </c>
      <c r="L4" s="12" t="s">
        <v>58</v>
      </c>
      <c r="M4" s="4">
        <f>COUNTIF(J4:L4,"P")</f>
      </c>
    </row>
    <row r="5" ht="24" customHeight="1" spans="1:13" x14ac:dyDescent="0.25">
      <c r="A5" s="12">
        <v>2</v>
      </c>
      <c r="B5" s="13" t="s">
        <v>576</v>
      </c>
      <c r="C5" s="14" t="s">
        <v>577</v>
      </c>
      <c r="D5" s="13" t="s">
        <v>578</v>
      </c>
      <c r="E5" s="15" t="s">
        <v>579</v>
      </c>
      <c r="F5" s="13" t="s">
        <v>580</v>
      </c>
      <c r="G5" s="13" t="s">
        <v>580</v>
      </c>
      <c r="H5" s="13" t="s">
        <v>581</v>
      </c>
      <c r="I5" s="15" t="s">
        <v>582</v>
      </c>
      <c r="J5" s="12" t="s">
        <v>58</v>
      </c>
      <c r="K5" s="12" t="s">
        <v>58</v>
      </c>
      <c r="L5" s="12" t="s">
        <v>58</v>
      </c>
      <c r="M5" s="4">
        <f>COUNTIF(J5:L5,"P")</f>
      </c>
    </row>
    <row r="6" ht="24" customHeight="1" spans="1:13" x14ac:dyDescent="0.25">
      <c r="A6" s="12">
        <v>3</v>
      </c>
      <c r="B6" s="13" t="s">
        <v>583</v>
      </c>
      <c r="C6" s="14" t="s">
        <v>584</v>
      </c>
      <c r="D6" s="13" t="s">
        <v>585</v>
      </c>
      <c r="E6" s="15" t="s">
        <v>586</v>
      </c>
      <c r="F6" s="13" t="s">
        <v>587</v>
      </c>
      <c r="G6" s="13" t="s">
        <v>587</v>
      </c>
      <c r="H6" s="13" t="s">
        <v>588</v>
      </c>
      <c r="I6" s="15" t="s">
        <v>589</v>
      </c>
      <c r="J6" s="12" t="s">
        <v>58</v>
      </c>
      <c r="K6" s="12" t="s">
        <v>58</v>
      </c>
      <c r="L6" s="12" t="s">
        <v>58</v>
      </c>
      <c r="M6" s="4">
        <f>COUNTIF(J6:L6,"P")</f>
      </c>
    </row>
    <row r="7" ht="24" customHeight="1" spans="1:13" x14ac:dyDescent="0.25">
      <c r="A7" s="12">
        <v>4</v>
      </c>
      <c r="B7" s="13" t="s">
        <v>590</v>
      </c>
      <c r="C7" s="14" t="s">
        <v>591</v>
      </c>
      <c r="D7" s="13" t="s">
        <v>592</v>
      </c>
      <c r="E7" s="15" t="s">
        <v>593</v>
      </c>
      <c r="F7" s="13" t="s">
        <v>594</v>
      </c>
      <c r="G7" s="13" t="s">
        <v>594</v>
      </c>
      <c r="H7" s="13" t="s">
        <v>595</v>
      </c>
      <c r="I7" s="15" t="s">
        <v>408</v>
      </c>
      <c r="J7" s="12" t="s">
        <v>58</v>
      </c>
      <c r="K7" s="12" t="s">
        <v>58</v>
      </c>
      <c r="L7" s="12" t="s">
        <v>58</v>
      </c>
      <c r="M7" s="4">
        <f>COUNTIF(J7:L7,"P")</f>
      </c>
    </row>
    <row r="8" ht="24" customHeight="1" spans="1:13" x14ac:dyDescent="0.25">
      <c r="A8" s="12">
        <v>5</v>
      </c>
      <c r="B8" s="13" t="s">
        <v>596</v>
      </c>
      <c r="C8" s="14" t="s">
        <v>597</v>
      </c>
      <c r="D8" s="13" t="s">
        <v>598</v>
      </c>
      <c r="E8" s="15" t="s">
        <v>599</v>
      </c>
      <c r="F8" s="13" t="s">
        <v>600</v>
      </c>
      <c r="G8" s="13" t="s">
        <v>600</v>
      </c>
      <c r="H8" s="13" t="s">
        <v>574</v>
      </c>
      <c r="I8" s="15" t="s">
        <v>165</v>
      </c>
      <c r="J8" s="12" t="s">
        <v>58</v>
      </c>
      <c r="K8" s="12" t="s">
        <v>58</v>
      </c>
      <c r="L8" s="12" t="s">
        <v>58</v>
      </c>
      <c r="M8" s="4">
        <f>COUNTIF(J8:L8,"P")</f>
      </c>
    </row>
    <row r="9" ht="24" customHeight="1" spans="1:13" x14ac:dyDescent="0.25">
      <c r="A9" s="12">
        <v>6</v>
      </c>
      <c r="B9" s="13" t="s">
        <v>58</v>
      </c>
      <c r="C9" s="14" t="s">
        <v>601</v>
      </c>
      <c r="D9" s="13" t="s">
        <v>602</v>
      </c>
      <c r="E9" s="15" t="s">
        <v>603</v>
      </c>
      <c r="F9" s="13" t="s">
        <v>604</v>
      </c>
      <c r="G9" s="13" t="s">
        <v>58</v>
      </c>
      <c r="H9" s="13" t="s">
        <v>58</v>
      </c>
      <c r="I9" s="15" t="s">
        <v>213</v>
      </c>
      <c r="J9" s="12" t="s">
        <v>58</v>
      </c>
      <c r="K9" s="12" t="s">
        <v>58</v>
      </c>
      <c r="L9" s="12" t="s">
        <v>58</v>
      </c>
      <c r="M9" s="4">
        <f>COUNTIF(J9:L9,"P")</f>
      </c>
    </row>
    <row r="10" ht="24" customHeight="1" spans="1:13" x14ac:dyDescent="0.25">
      <c r="A10" s="12">
        <v>7</v>
      </c>
      <c r="B10" s="13" t="s">
        <v>58</v>
      </c>
      <c r="C10" s="14" t="s">
        <v>605</v>
      </c>
      <c r="D10" s="13" t="s">
        <v>606</v>
      </c>
      <c r="E10" s="15" t="s">
        <v>607</v>
      </c>
      <c r="F10" s="13" t="s">
        <v>608</v>
      </c>
      <c r="G10" s="13" t="s">
        <v>58</v>
      </c>
      <c r="H10" s="13" t="s">
        <v>58</v>
      </c>
      <c r="I10" s="15" t="s">
        <v>609</v>
      </c>
      <c r="J10" s="12" t="s">
        <v>58</v>
      </c>
      <c r="K10" s="12" t="s">
        <v>58</v>
      </c>
      <c r="L10" s="12" t="s">
        <v>58</v>
      </c>
      <c r="M10" s="4">
        <f>COUNTIF(J10:L10,"P")</f>
      </c>
    </row>
    <row r="11" ht="24" customHeight="1" spans="1:13" x14ac:dyDescent="0.25">
      <c r="A11" s="12">
        <v>8</v>
      </c>
      <c r="B11" s="13" t="s">
        <v>58</v>
      </c>
      <c r="C11" s="14" t="s">
        <v>610</v>
      </c>
      <c r="D11" s="13" t="s">
        <v>58</v>
      </c>
      <c r="E11" s="15" t="s">
        <v>611</v>
      </c>
      <c r="F11" s="13" t="s">
        <v>612</v>
      </c>
      <c r="G11" s="13" t="s">
        <v>58</v>
      </c>
      <c r="H11" s="13" t="s">
        <v>58</v>
      </c>
      <c r="I11" s="15" t="s">
        <v>58</v>
      </c>
      <c r="J11" s="12" t="s">
        <v>58</v>
      </c>
      <c r="K11" s="12" t="s">
        <v>58</v>
      </c>
      <c r="L11" s="12" t="s">
        <v>58</v>
      </c>
      <c r="M11" s="4">
        <f>COUNTIF(J11:L11,"P")</f>
      </c>
    </row>
    <row r="12" ht="24" customHeight="1" spans="1:13" x14ac:dyDescent="0.25">
      <c r="A12" s="12">
        <v>9</v>
      </c>
      <c r="B12" s="13" t="s">
        <v>58</v>
      </c>
      <c r="C12" s="14" t="s">
        <v>613</v>
      </c>
      <c r="D12" s="13" t="s">
        <v>58</v>
      </c>
      <c r="E12" s="15" t="s">
        <v>614</v>
      </c>
      <c r="F12" s="13" t="s">
        <v>615</v>
      </c>
      <c r="G12" s="13" t="s">
        <v>58</v>
      </c>
      <c r="H12" s="13" t="s">
        <v>58</v>
      </c>
      <c r="I12" s="15" t="s">
        <v>213</v>
      </c>
      <c r="J12" s="12" t="s">
        <v>58</v>
      </c>
      <c r="K12" s="12" t="s">
        <v>58</v>
      </c>
      <c r="L12" s="12" t="s">
        <v>58</v>
      </c>
      <c r="M12" s="4">
        <f>COUNTIF(J12:L12,"P")</f>
      </c>
    </row>
    <row r="13" ht="24" customHeight="1" spans="1:13" x14ac:dyDescent="0.25">
      <c r="A13" s="12">
        <v>10</v>
      </c>
      <c r="B13" s="13" t="s">
        <v>58</v>
      </c>
      <c r="C13" s="14" t="s">
        <v>616</v>
      </c>
      <c r="D13" s="13" t="s">
        <v>617</v>
      </c>
      <c r="E13" s="15" t="s">
        <v>58</v>
      </c>
      <c r="F13" s="13" t="s">
        <v>618</v>
      </c>
      <c r="G13" s="13" t="s">
        <v>58</v>
      </c>
      <c r="H13" s="13" t="s">
        <v>58</v>
      </c>
      <c r="I13" s="15" t="s">
        <v>58</v>
      </c>
      <c r="J13" s="12" t="s">
        <v>58</v>
      </c>
      <c r="K13" s="12" t="s">
        <v>58</v>
      </c>
      <c r="L13" s="12" t="s">
        <v>58</v>
      </c>
      <c r="M13" s="4">
        <f>COUNTIF(J13:L13,"P")</f>
      </c>
    </row>
    <row r="14" ht="24" customHeight="1" spans="1:13" x14ac:dyDescent="0.25">
      <c r="A14" s="12">
        <v>11</v>
      </c>
      <c r="B14" s="13" t="s">
        <v>58</v>
      </c>
      <c r="C14" s="14" t="s">
        <v>619</v>
      </c>
      <c r="D14" s="13" t="s">
        <v>58</v>
      </c>
      <c r="E14" s="15" t="s">
        <v>620</v>
      </c>
      <c r="F14" s="13" t="s">
        <v>621</v>
      </c>
      <c r="G14" s="13" t="s">
        <v>58</v>
      </c>
      <c r="H14" s="13" t="s">
        <v>58</v>
      </c>
      <c r="I14" s="15" t="s">
        <v>159</v>
      </c>
      <c r="J14" s="12" t="s">
        <v>58</v>
      </c>
      <c r="K14" s="12" t="s">
        <v>58</v>
      </c>
      <c r="L14" s="12" t="s">
        <v>58</v>
      </c>
      <c r="M14" s="4">
        <f>COUNTIF(J14:L14,"P")</f>
      </c>
    </row>
    <row r="15" ht="24" customHeight="1" spans="1:13" x14ac:dyDescent="0.25">
      <c r="A15" s="12">
        <v>12</v>
      </c>
      <c r="B15" s="13" t="s">
        <v>58</v>
      </c>
      <c r="C15" s="14" t="s">
        <v>622</v>
      </c>
      <c r="D15" s="13" t="s">
        <v>58</v>
      </c>
      <c r="E15" s="15" t="s">
        <v>623</v>
      </c>
      <c r="F15" s="13" t="s">
        <v>624</v>
      </c>
      <c r="G15" s="13" t="s">
        <v>58</v>
      </c>
      <c r="H15" s="13" t="s">
        <v>58</v>
      </c>
      <c r="I15" s="15" t="s">
        <v>213</v>
      </c>
      <c r="J15" s="12" t="s">
        <v>58</v>
      </c>
      <c r="K15" s="12" t="s">
        <v>58</v>
      </c>
      <c r="L15" s="12" t="s">
        <v>58</v>
      </c>
      <c r="M15" s="4">
        <f>COUNTIF(J15:L15,"P")</f>
      </c>
    </row>
    <row r="16" ht="24" customHeight="1" spans="1:13" x14ac:dyDescent="0.25">
      <c r="A16" s="12">
        <v>13</v>
      </c>
      <c r="B16" s="13" t="s">
        <v>58</v>
      </c>
      <c r="C16" s="14" t="s">
        <v>625</v>
      </c>
      <c r="D16" s="13" t="s">
        <v>58</v>
      </c>
      <c r="E16" s="15" t="s">
        <v>626</v>
      </c>
      <c r="F16" s="13" t="s">
        <v>627</v>
      </c>
      <c r="G16" s="13" t="s">
        <v>627</v>
      </c>
      <c r="H16" s="13" t="s">
        <v>627</v>
      </c>
      <c r="I16" s="15" t="s">
        <v>165</v>
      </c>
      <c r="J16" s="12" t="s">
        <v>58</v>
      </c>
      <c r="K16" s="12" t="s">
        <v>58</v>
      </c>
      <c r="L16" s="12" t="s">
        <v>58</v>
      </c>
      <c r="M16" s="4">
        <f>COUNTIF(J16:L16,"P")</f>
      </c>
    </row>
    <row r="17" ht="24" customHeight="1" spans="1:13" x14ac:dyDescent="0.25">
      <c r="A17" s="12">
        <v>14</v>
      </c>
      <c r="B17" s="13" t="s">
        <v>58</v>
      </c>
      <c r="C17" s="14" t="s">
        <v>628</v>
      </c>
      <c r="D17" s="13" t="s">
        <v>58</v>
      </c>
      <c r="E17" s="15" t="s">
        <v>629</v>
      </c>
      <c r="F17" s="13" t="s">
        <v>630</v>
      </c>
      <c r="G17" s="13" t="s">
        <v>58</v>
      </c>
      <c r="H17" s="13" t="s">
        <v>58</v>
      </c>
      <c r="I17" s="15" t="s">
        <v>213</v>
      </c>
      <c r="J17" s="12" t="s">
        <v>58</v>
      </c>
      <c r="K17" s="12" t="s">
        <v>58</v>
      </c>
      <c r="L17" s="12" t="s">
        <v>58</v>
      </c>
      <c r="M17" s="4">
        <f>COUNTIF(J17:L17,"P")</f>
      </c>
    </row>
    <row r="18" ht="24" customHeight="1" spans="1:13" x14ac:dyDescent="0.25">
      <c r="A18" s="12">
        <v>15</v>
      </c>
      <c r="B18" s="13" t="s">
        <v>58</v>
      </c>
      <c r="C18" s="14" t="s">
        <v>631</v>
      </c>
      <c r="D18" s="13" t="s">
        <v>58</v>
      </c>
      <c r="E18" s="15" t="s">
        <v>632</v>
      </c>
      <c r="F18" s="13" t="s">
        <v>633</v>
      </c>
      <c r="G18" s="13" t="s">
        <v>633</v>
      </c>
      <c r="H18" s="13" t="s">
        <v>633</v>
      </c>
      <c r="I18" s="15" t="s">
        <v>165</v>
      </c>
      <c r="J18" s="12" t="s">
        <v>58</v>
      </c>
      <c r="K18" s="12" t="s">
        <v>58</v>
      </c>
      <c r="L18" s="12" t="s">
        <v>58</v>
      </c>
      <c r="M18" s="4">
        <f>COUNTIF(J18:L18,"P")</f>
      </c>
    </row>
    <row r="19" ht="24" customHeight="1" spans="1:13" x14ac:dyDescent="0.25">
      <c r="A19" s="12">
        <v>16</v>
      </c>
      <c r="B19" s="13" t="s">
        <v>58</v>
      </c>
      <c r="C19" s="14" t="s">
        <v>634</v>
      </c>
      <c r="D19" s="13" t="s">
        <v>58</v>
      </c>
      <c r="E19" s="15" t="s">
        <v>635</v>
      </c>
      <c r="F19" s="13" t="s">
        <v>636</v>
      </c>
      <c r="G19" s="13" t="s">
        <v>58</v>
      </c>
      <c r="H19" s="13" t="s">
        <v>58</v>
      </c>
      <c r="I19" s="15" t="s">
        <v>58</v>
      </c>
      <c r="J19" s="12" t="s">
        <v>58</v>
      </c>
      <c r="K19" s="12" t="s">
        <v>58</v>
      </c>
      <c r="L19" s="12" t="s">
        <v>58</v>
      </c>
      <c r="M19" s="4">
        <f>COUNTIF(J19:L19,"P")</f>
      </c>
    </row>
    <row r="20" ht="24" customHeight="1" spans="1:13" x14ac:dyDescent="0.25">
      <c r="A20" s="12">
        <v>17</v>
      </c>
      <c r="B20" s="13" t="s">
        <v>58</v>
      </c>
      <c r="C20" s="14" t="s">
        <v>637</v>
      </c>
      <c r="D20" s="13" t="s">
        <v>638</v>
      </c>
      <c r="E20" s="15" t="s">
        <v>639</v>
      </c>
      <c r="F20" s="13" t="s">
        <v>640</v>
      </c>
      <c r="G20" s="13" t="s">
        <v>641</v>
      </c>
      <c r="H20" s="13" t="s">
        <v>58</v>
      </c>
      <c r="I20" s="15" t="s">
        <v>213</v>
      </c>
      <c r="J20" s="12" t="s">
        <v>58</v>
      </c>
      <c r="K20" s="12" t="s">
        <v>58</v>
      </c>
      <c r="L20" s="12" t="s">
        <v>58</v>
      </c>
      <c r="M20" s="4">
        <f>COUNTIF(J20:L20,"P")</f>
      </c>
    </row>
    <row r="21" ht="24" customHeight="1" spans="1:13" x14ac:dyDescent="0.25">
      <c r="A21" s="12">
        <v>18</v>
      </c>
      <c r="B21" s="13" t="s">
        <v>58</v>
      </c>
      <c r="C21" s="14" t="s">
        <v>642</v>
      </c>
      <c r="D21" s="13" t="s">
        <v>643</v>
      </c>
      <c r="E21" s="15" t="s">
        <v>644</v>
      </c>
      <c r="F21" s="13" t="s">
        <v>645</v>
      </c>
      <c r="G21" s="13" t="s">
        <v>645</v>
      </c>
      <c r="H21" s="13" t="s">
        <v>646</v>
      </c>
      <c r="I21" s="15" t="s">
        <v>165</v>
      </c>
      <c r="J21" s="12" t="s">
        <v>58</v>
      </c>
      <c r="K21" s="12" t="s">
        <v>58</v>
      </c>
      <c r="L21" s="12" t="s">
        <v>58</v>
      </c>
      <c r="M21" s="4">
        <f>COUNTIF(J21:L21,"P")</f>
      </c>
    </row>
    <row r="22" ht="24" customHeight="1" spans="1:13" x14ac:dyDescent="0.25">
      <c r="A22" s="12">
        <v>19</v>
      </c>
      <c r="B22" s="13" t="s">
        <v>58</v>
      </c>
      <c r="C22" s="14" t="s">
        <v>647</v>
      </c>
      <c r="D22" s="13" t="s">
        <v>58</v>
      </c>
      <c r="E22" s="15" t="s">
        <v>648</v>
      </c>
      <c r="F22" s="13" t="s">
        <v>649</v>
      </c>
      <c r="G22" s="13" t="s">
        <v>58</v>
      </c>
      <c r="H22" s="13" t="s">
        <v>58</v>
      </c>
      <c r="I22" s="15" t="s">
        <v>58</v>
      </c>
      <c r="J22" s="12" t="s">
        <v>58</v>
      </c>
      <c r="K22" s="12" t="s">
        <v>58</v>
      </c>
      <c r="L22" s="12" t="s">
        <v>58</v>
      </c>
      <c r="M22" s="4">
        <f>COUNTIF(J22:L22,"P")</f>
      </c>
    </row>
    <row r="23" ht="24" customHeight="1" spans="1:13" x14ac:dyDescent="0.25">
      <c r="A23" s="12">
        <v>20</v>
      </c>
      <c r="B23" s="13" t="s">
        <v>58</v>
      </c>
      <c r="C23" s="14" t="s">
        <v>650</v>
      </c>
      <c r="D23" s="13" t="s">
        <v>58</v>
      </c>
      <c r="E23" s="15" t="s">
        <v>58</v>
      </c>
      <c r="F23" s="13" t="s">
        <v>58</v>
      </c>
      <c r="G23" s="13" t="s">
        <v>58</v>
      </c>
      <c r="H23" s="13" t="s">
        <v>58</v>
      </c>
      <c r="I23" s="15" t="s">
        <v>58</v>
      </c>
      <c r="J23" s="12" t="s">
        <v>58</v>
      </c>
      <c r="K23" s="12" t="s">
        <v>58</v>
      </c>
      <c r="L23" s="12" t="s">
        <v>58</v>
      </c>
      <c r="M23" s="4">
        <f>COUNTIF(J23:L23,"P")</f>
      </c>
    </row>
    <row r="24" ht="24" customHeight="1" spans="1:13" x14ac:dyDescent="0.25">
      <c r="A24" s="12">
        <v>21</v>
      </c>
      <c r="B24" s="13" t="s">
        <v>58</v>
      </c>
      <c r="C24" s="14" t="s">
        <v>651</v>
      </c>
      <c r="D24" s="13" t="s">
        <v>652</v>
      </c>
      <c r="E24" s="15" t="s">
        <v>653</v>
      </c>
      <c r="F24" s="13" t="s">
        <v>654</v>
      </c>
      <c r="G24" s="13" t="s">
        <v>58</v>
      </c>
      <c r="H24" s="13" t="s">
        <v>58</v>
      </c>
      <c r="I24" s="15" t="s">
        <v>213</v>
      </c>
      <c r="J24" s="12" t="s">
        <v>58</v>
      </c>
      <c r="K24" s="12" t="s">
        <v>58</v>
      </c>
      <c r="L24" s="12" t="s">
        <v>58</v>
      </c>
      <c r="M24" s="4">
        <f>COUNTIF(J24:L24,"P")</f>
      </c>
    </row>
    <row r="25" ht="24" customHeight="1" spans="1:13" x14ac:dyDescent="0.25">
      <c r="A25" s="12">
        <v>22</v>
      </c>
      <c r="B25" s="13" t="s">
        <v>58</v>
      </c>
      <c r="C25" s="14" t="s">
        <v>655</v>
      </c>
      <c r="D25" s="13" t="s">
        <v>58</v>
      </c>
      <c r="E25" s="15" t="s">
        <v>58</v>
      </c>
      <c r="F25" s="13" t="s">
        <v>58</v>
      </c>
      <c r="G25" s="13" t="s">
        <v>58</v>
      </c>
      <c r="H25" s="13" t="s">
        <v>58</v>
      </c>
      <c r="I25" s="15" t="s">
        <v>58</v>
      </c>
      <c r="J25" s="12" t="s">
        <v>58</v>
      </c>
      <c r="K25" s="12" t="s">
        <v>58</v>
      </c>
      <c r="L25" s="12" t="s">
        <v>58</v>
      </c>
      <c r="M25" s="4">
        <f>COUNTIF(J25:L25,"P")</f>
      </c>
    </row>
    <row r="26" ht="24" customHeight="1" spans="1:13" x14ac:dyDescent="0.25">
      <c r="A26" s="12">
        <v>23</v>
      </c>
      <c r="B26" s="13" t="s">
        <v>58</v>
      </c>
      <c r="C26" s="14" t="s">
        <v>656</v>
      </c>
      <c r="D26" s="13" t="s">
        <v>58</v>
      </c>
      <c r="E26" s="15" t="s">
        <v>58</v>
      </c>
      <c r="F26" s="13" t="s">
        <v>58</v>
      </c>
      <c r="G26" s="13" t="s">
        <v>58</v>
      </c>
      <c r="H26" s="13" t="s">
        <v>58</v>
      </c>
      <c r="I26" s="15" t="s">
        <v>58</v>
      </c>
      <c r="J26" s="12" t="s">
        <v>58</v>
      </c>
      <c r="K26" s="12" t="s">
        <v>58</v>
      </c>
      <c r="L26" s="12" t="s">
        <v>58</v>
      </c>
      <c r="M26" s="4">
        <f>COUNTIF(J26:L26,"P")</f>
      </c>
    </row>
    <row r="27" ht="26" customHeight="1" spans="1:13" x14ac:dyDescent="0.25">
      <c r="A27" s="16"/>
      <c r="B27" s="16"/>
      <c r="C27" s="17" t="s">
        <v>51</v>
      </c>
      <c r="D27" s="16"/>
      <c r="E27" s="16"/>
      <c r="F27" s="16"/>
      <c r="G27" s="16"/>
      <c r="H27" s="16"/>
      <c r="I27" s="16"/>
      <c r="J27" s="18">
        <f>COUNTIF(J4:J26,"P")</f>
      </c>
      <c r="K27" s="18">
        <f>COUNTIF(K4:K26,"P")</f>
      </c>
      <c r="L27" s="18">
        <f>COUNTIF(L4:L26,"P")</f>
      </c>
      <c r="M27" s="18">
        <f>SUM(M4:M26)</f>
      </c>
    </row>
  </sheetData>
  <mergeCells count="2">
    <mergeCell ref="A1:M1"/>
    <mergeCell ref="A2:M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0"/>
  <sheetViews>
    <sheetView workbookViewId="0">
      <pane xSplit="3" ySplit="3" topLeftCell="D4" activePane="bottomRight" state="frozen"/>
      <selection pane="bottomRight"/>
    </sheetView>
  </sheetViews>
  <sheetFormatPr defaultRowHeight="20" outlineLevelRow="0" outlineLevelCol="0" x14ac:dyDescent="55" customHeight="1"/>
  <cols>
    <col min="1" max="1" width="9.29" customWidth="1"/>
    <col min="2" max="2" width="10.14" customWidth="1"/>
    <col min="3" max="3" width="42.29" customWidth="1"/>
    <col min="4" max="4" width="14.86" customWidth="1"/>
    <col min="5" max="5" width="35.14" customWidth="1"/>
    <col min="6" max="6" width="15.86" customWidth="1"/>
    <col min="7" max="7" width="14.57" customWidth="1"/>
    <col min="8" max="8" width="17.57" customWidth="1"/>
    <col min="9" max="9" width="15.71" customWidth="1"/>
    <col min="10" max="12" width="11.57" customWidth="1"/>
    <col min="13" max="13" width="15" customWidth="1"/>
  </cols>
  <sheetData>
    <row r="1" ht="36" customHeight="1" spans="1:13" x14ac:dyDescent="0.25">
      <c r="A1" s="7" t="s">
        <v>40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ht="30" customHeight="1" spans="1:13" x14ac:dyDescent="0.25">
      <c r="A2" s="8" t="s">
        <v>657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ht="28" customHeight="1" spans="1:13" x14ac:dyDescent="0.25">
      <c r="A3" s="9" t="s">
        <v>42</v>
      </c>
      <c r="B3" s="9" t="s">
        <v>43</v>
      </c>
      <c r="C3" s="10" t="s">
        <v>44</v>
      </c>
      <c r="D3" s="9" t="s">
        <v>45</v>
      </c>
      <c r="E3" s="9" t="s">
        <v>46</v>
      </c>
      <c r="F3" s="9" t="s">
        <v>47</v>
      </c>
      <c r="G3" s="9" t="s">
        <v>48</v>
      </c>
      <c r="H3" s="9" t="s">
        <v>49</v>
      </c>
      <c r="I3" s="9" t="s">
        <v>50</v>
      </c>
      <c r="J3" s="11" t="s">
        <v>5</v>
      </c>
      <c r="K3" s="11" t="s">
        <v>6</v>
      </c>
      <c r="L3" s="11" t="s">
        <v>7</v>
      </c>
      <c r="M3" s="9" t="s">
        <v>51</v>
      </c>
    </row>
    <row r="4" ht="24" customHeight="1" spans="1:13" x14ac:dyDescent="0.25">
      <c r="A4" s="12">
        <v>1</v>
      </c>
      <c r="B4" s="13" t="s">
        <v>658</v>
      </c>
      <c r="C4" s="14" t="s">
        <v>659</v>
      </c>
      <c r="D4" s="13" t="s">
        <v>660</v>
      </c>
      <c r="E4" s="15" t="s">
        <v>661</v>
      </c>
      <c r="F4" s="13" t="s">
        <v>662</v>
      </c>
      <c r="G4" s="13" t="s">
        <v>662</v>
      </c>
      <c r="H4" s="13" t="s">
        <v>663</v>
      </c>
      <c r="I4" s="15" t="s">
        <v>664</v>
      </c>
      <c r="J4" s="12" t="s">
        <v>58</v>
      </c>
      <c r="K4" s="12" t="s">
        <v>58</v>
      </c>
      <c r="L4" s="12" t="s">
        <v>58</v>
      </c>
      <c r="M4" s="4">
        <f>COUNTIF(J4:L4,"P")</f>
      </c>
    </row>
    <row r="5" ht="24" customHeight="1" spans="1:13" x14ac:dyDescent="0.25">
      <c r="A5" s="12">
        <v>2</v>
      </c>
      <c r="B5" s="13" t="s">
        <v>665</v>
      </c>
      <c r="C5" s="14" t="s">
        <v>666</v>
      </c>
      <c r="D5" s="13" t="s">
        <v>667</v>
      </c>
      <c r="E5" s="15" t="s">
        <v>668</v>
      </c>
      <c r="F5" s="13" t="s">
        <v>669</v>
      </c>
      <c r="G5" s="13" t="s">
        <v>669</v>
      </c>
      <c r="H5" s="13" t="s">
        <v>670</v>
      </c>
      <c r="I5" s="15" t="s">
        <v>108</v>
      </c>
      <c r="J5" s="12" t="s">
        <v>58</v>
      </c>
      <c r="K5" s="12" t="s">
        <v>58</v>
      </c>
      <c r="L5" s="12" t="s">
        <v>58</v>
      </c>
      <c r="M5" s="4">
        <f>COUNTIF(J5:L5,"P")</f>
      </c>
    </row>
    <row r="6" ht="24" customHeight="1" spans="1:13" x14ac:dyDescent="0.25">
      <c r="A6" s="12">
        <v>3</v>
      </c>
      <c r="B6" s="13" t="s">
        <v>671</v>
      </c>
      <c r="C6" s="14" t="s">
        <v>672</v>
      </c>
      <c r="D6" s="13" t="s">
        <v>673</v>
      </c>
      <c r="E6" s="15" t="s">
        <v>674</v>
      </c>
      <c r="F6" s="13" t="s">
        <v>675</v>
      </c>
      <c r="G6" s="13" t="s">
        <v>675</v>
      </c>
      <c r="H6" s="13" t="s">
        <v>676</v>
      </c>
      <c r="I6" s="15" t="s">
        <v>264</v>
      </c>
      <c r="J6" s="12" t="s">
        <v>58</v>
      </c>
      <c r="K6" s="12" t="s">
        <v>58</v>
      </c>
      <c r="L6" s="12" t="s">
        <v>58</v>
      </c>
      <c r="M6" s="4">
        <f>COUNTIF(J6:L6,"P")</f>
      </c>
    </row>
    <row r="7" ht="24" customHeight="1" spans="1:13" x14ac:dyDescent="0.25">
      <c r="A7" s="12">
        <v>4</v>
      </c>
      <c r="B7" s="13" t="s">
        <v>677</v>
      </c>
      <c r="C7" s="14" t="s">
        <v>678</v>
      </c>
      <c r="D7" s="13" t="s">
        <v>679</v>
      </c>
      <c r="E7" s="15" t="s">
        <v>680</v>
      </c>
      <c r="F7" s="13" t="s">
        <v>681</v>
      </c>
      <c r="G7" s="13" t="s">
        <v>681</v>
      </c>
      <c r="H7" s="13" t="s">
        <v>682</v>
      </c>
      <c r="I7" s="15" t="s">
        <v>683</v>
      </c>
      <c r="J7" s="12" t="s">
        <v>58</v>
      </c>
      <c r="K7" s="12" t="s">
        <v>58</v>
      </c>
      <c r="L7" s="12" t="s">
        <v>58</v>
      </c>
      <c r="M7" s="4">
        <f>COUNTIF(J7:L7,"P")</f>
      </c>
    </row>
    <row r="8" ht="24" customHeight="1" spans="1:13" x14ac:dyDescent="0.25">
      <c r="A8" s="12">
        <v>5</v>
      </c>
      <c r="B8" s="13" t="s">
        <v>684</v>
      </c>
      <c r="C8" s="14" t="s">
        <v>685</v>
      </c>
      <c r="D8" s="13" t="s">
        <v>686</v>
      </c>
      <c r="E8" s="15" t="s">
        <v>687</v>
      </c>
      <c r="F8" s="13" t="s">
        <v>688</v>
      </c>
      <c r="G8" s="13" t="s">
        <v>688</v>
      </c>
      <c r="H8" s="13" t="s">
        <v>689</v>
      </c>
      <c r="I8" s="15" t="s">
        <v>690</v>
      </c>
      <c r="J8" s="12" t="s">
        <v>58</v>
      </c>
      <c r="K8" s="12" t="s">
        <v>58</v>
      </c>
      <c r="L8" s="12" t="s">
        <v>58</v>
      </c>
      <c r="M8" s="4">
        <f>COUNTIF(J8:L8,"P")</f>
      </c>
    </row>
    <row r="9" ht="24" customHeight="1" spans="1:13" x14ac:dyDescent="0.25">
      <c r="A9" s="12">
        <v>6</v>
      </c>
      <c r="B9" s="13" t="s">
        <v>691</v>
      </c>
      <c r="C9" s="14" t="s">
        <v>692</v>
      </c>
      <c r="D9" s="13" t="s">
        <v>693</v>
      </c>
      <c r="E9" s="15" t="s">
        <v>694</v>
      </c>
      <c r="F9" s="13" t="s">
        <v>695</v>
      </c>
      <c r="G9" s="13" t="s">
        <v>695</v>
      </c>
      <c r="H9" s="13" t="s">
        <v>696</v>
      </c>
      <c r="I9" s="15" t="s">
        <v>697</v>
      </c>
      <c r="J9" s="12" t="s">
        <v>58</v>
      </c>
      <c r="K9" s="12" t="s">
        <v>58</v>
      </c>
      <c r="L9" s="12" t="s">
        <v>58</v>
      </c>
      <c r="M9" s="4">
        <f>COUNTIF(J9:L9,"P")</f>
      </c>
    </row>
    <row r="10" ht="24" customHeight="1" spans="1:13" x14ac:dyDescent="0.25">
      <c r="A10" s="12">
        <v>7</v>
      </c>
      <c r="B10" s="13" t="s">
        <v>58</v>
      </c>
      <c r="C10" s="14" t="s">
        <v>698</v>
      </c>
      <c r="D10" s="13" t="s">
        <v>699</v>
      </c>
      <c r="E10" s="15" t="s">
        <v>700</v>
      </c>
      <c r="F10" s="13" t="s">
        <v>701</v>
      </c>
      <c r="G10" s="13" t="s">
        <v>701</v>
      </c>
      <c r="H10" s="13" t="s">
        <v>58</v>
      </c>
      <c r="I10" s="15" t="s">
        <v>702</v>
      </c>
      <c r="J10" s="12" t="s">
        <v>58</v>
      </c>
      <c r="K10" s="12" t="s">
        <v>58</v>
      </c>
      <c r="L10" s="12" t="s">
        <v>58</v>
      </c>
      <c r="M10" s="4">
        <f>COUNTIF(J10:L10,"P")</f>
      </c>
    </row>
    <row r="11" ht="24" customHeight="1" spans="1:13" x14ac:dyDescent="0.25">
      <c r="A11" s="12">
        <v>8</v>
      </c>
      <c r="B11" s="13" t="s">
        <v>58</v>
      </c>
      <c r="C11" s="14" t="s">
        <v>703</v>
      </c>
      <c r="D11" s="13" t="s">
        <v>58</v>
      </c>
      <c r="E11" s="15" t="s">
        <v>58</v>
      </c>
      <c r="F11" s="13" t="s">
        <v>58</v>
      </c>
      <c r="G11" s="13" t="s">
        <v>58</v>
      </c>
      <c r="H11" s="13" t="s">
        <v>58</v>
      </c>
      <c r="I11" s="15" t="s">
        <v>58</v>
      </c>
      <c r="J11" s="12" t="s">
        <v>58</v>
      </c>
      <c r="K11" s="12" t="s">
        <v>58</v>
      </c>
      <c r="L11" s="12" t="s">
        <v>58</v>
      </c>
      <c r="M11" s="4">
        <f>COUNTIF(J11:L11,"P")</f>
      </c>
    </row>
    <row r="12" ht="24" customHeight="1" spans="1:13" x14ac:dyDescent="0.25">
      <c r="A12" s="12">
        <v>9</v>
      </c>
      <c r="B12" s="13" t="s">
        <v>58</v>
      </c>
      <c r="C12" s="14" t="s">
        <v>704</v>
      </c>
      <c r="D12" s="13" t="s">
        <v>705</v>
      </c>
      <c r="E12" s="15" t="s">
        <v>706</v>
      </c>
      <c r="F12" s="13" t="s">
        <v>707</v>
      </c>
      <c r="G12" s="13" t="s">
        <v>707</v>
      </c>
      <c r="H12" s="13" t="s">
        <v>708</v>
      </c>
      <c r="I12" s="15" t="s">
        <v>709</v>
      </c>
      <c r="J12" s="12" t="s">
        <v>58</v>
      </c>
      <c r="K12" s="12" t="s">
        <v>58</v>
      </c>
      <c r="L12" s="12" t="s">
        <v>58</v>
      </c>
      <c r="M12" s="4">
        <f>COUNTIF(J12:L12,"P")</f>
      </c>
    </row>
    <row r="13" ht="24" customHeight="1" spans="1:13" x14ac:dyDescent="0.25">
      <c r="A13" s="12">
        <v>10</v>
      </c>
      <c r="B13" s="13" t="s">
        <v>58</v>
      </c>
      <c r="C13" s="14" t="s">
        <v>710</v>
      </c>
      <c r="D13" s="13" t="s">
        <v>711</v>
      </c>
      <c r="E13" s="15" t="s">
        <v>712</v>
      </c>
      <c r="F13" s="13" t="s">
        <v>713</v>
      </c>
      <c r="G13" s="13" t="s">
        <v>58</v>
      </c>
      <c r="H13" s="13" t="s">
        <v>58</v>
      </c>
      <c r="I13" s="15" t="s">
        <v>714</v>
      </c>
      <c r="J13" s="12" t="s">
        <v>58</v>
      </c>
      <c r="K13" s="12" t="s">
        <v>58</v>
      </c>
      <c r="L13" s="12" t="s">
        <v>58</v>
      </c>
      <c r="M13" s="4">
        <f>COUNTIF(J13:L13,"P")</f>
      </c>
    </row>
    <row r="14" ht="24" customHeight="1" spans="1:13" x14ac:dyDescent="0.25">
      <c r="A14" s="12">
        <v>11</v>
      </c>
      <c r="B14" s="13" t="s">
        <v>58</v>
      </c>
      <c r="C14" s="14" t="s">
        <v>715</v>
      </c>
      <c r="D14" s="13" t="s">
        <v>58</v>
      </c>
      <c r="E14" s="15" t="s">
        <v>716</v>
      </c>
      <c r="F14" s="13" t="s">
        <v>717</v>
      </c>
      <c r="G14" s="13" t="s">
        <v>58</v>
      </c>
      <c r="H14" s="13" t="s">
        <v>58</v>
      </c>
      <c r="I14" s="15" t="s">
        <v>159</v>
      </c>
      <c r="J14" s="12" t="s">
        <v>58</v>
      </c>
      <c r="K14" s="12" t="s">
        <v>58</v>
      </c>
      <c r="L14" s="12" t="s">
        <v>58</v>
      </c>
      <c r="M14" s="4">
        <f>COUNTIF(J14:L14,"P")</f>
      </c>
    </row>
    <row r="15" ht="24" customHeight="1" spans="1:13" x14ac:dyDescent="0.25">
      <c r="A15" s="12">
        <v>12</v>
      </c>
      <c r="B15" s="13" t="s">
        <v>58</v>
      </c>
      <c r="C15" s="14" t="s">
        <v>718</v>
      </c>
      <c r="D15" s="13" t="s">
        <v>58</v>
      </c>
      <c r="E15" s="15" t="s">
        <v>719</v>
      </c>
      <c r="F15" s="13" t="s">
        <v>720</v>
      </c>
      <c r="G15" s="13" t="s">
        <v>58</v>
      </c>
      <c r="H15" s="13" t="s">
        <v>58</v>
      </c>
      <c r="I15" s="15" t="s">
        <v>58</v>
      </c>
      <c r="J15" s="12" t="s">
        <v>58</v>
      </c>
      <c r="K15" s="12" t="s">
        <v>58</v>
      </c>
      <c r="L15" s="12" t="s">
        <v>58</v>
      </c>
      <c r="M15" s="4">
        <f>COUNTIF(J15:L15,"P")</f>
      </c>
    </row>
    <row r="16" ht="24" customHeight="1" spans="1:13" x14ac:dyDescent="0.25">
      <c r="A16" s="12">
        <v>13</v>
      </c>
      <c r="B16" s="13" t="s">
        <v>58</v>
      </c>
      <c r="C16" s="14" t="s">
        <v>721</v>
      </c>
      <c r="D16" s="13" t="s">
        <v>58</v>
      </c>
      <c r="E16" s="15" t="s">
        <v>722</v>
      </c>
      <c r="F16" s="13" t="s">
        <v>723</v>
      </c>
      <c r="G16" s="13" t="s">
        <v>58</v>
      </c>
      <c r="H16" s="13" t="s">
        <v>58</v>
      </c>
      <c r="I16" s="15" t="s">
        <v>58</v>
      </c>
      <c r="J16" s="12" t="s">
        <v>58</v>
      </c>
      <c r="K16" s="12" t="s">
        <v>58</v>
      </c>
      <c r="L16" s="12" t="s">
        <v>58</v>
      </c>
      <c r="M16" s="4">
        <f>COUNTIF(J16:L16,"P")</f>
      </c>
    </row>
    <row r="17" ht="24" customHeight="1" spans="1:13" x14ac:dyDescent="0.25">
      <c r="A17" s="12">
        <v>14</v>
      </c>
      <c r="B17" s="13" t="s">
        <v>58</v>
      </c>
      <c r="C17" s="14" t="s">
        <v>724</v>
      </c>
      <c r="D17" s="13" t="s">
        <v>58</v>
      </c>
      <c r="E17" s="15" t="s">
        <v>58</v>
      </c>
      <c r="F17" s="13" t="s">
        <v>725</v>
      </c>
      <c r="G17" s="13" t="s">
        <v>58</v>
      </c>
      <c r="H17" s="13" t="s">
        <v>58</v>
      </c>
      <c r="I17" s="15" t="s">
        <v>58</v>
      </c>
      <c r="J17" s="12" t="s">
        <v>58</v>
      </c>
      <c r="K17" s="12" t="s">
        <v>58</v>
      </c>
      <c r="L17" s="12" t="s">
        <v>58</v>
      </c>
      <c r="M17" s="4">
        <f>COUNTIF(J17:L17,"P")</f>
      </c>
    </row>
    <row r="18" ht="24" customHeight="1" spans="1:13" x14ac:dyDescent="0.25">
      <c r="A18" s="12">
        <v>15</v>
      </c>
      <c r="B18" s="13" t="s">
        <v>58</v>
      </c>
      <c r="C18" s="14" t="s">
        <v>726</v>
      </c>
      <c r="D18" s="13" t="s">
        <v>727</v>
      </c>
      <c r="E18" s="15" t="s">
        <v>728</v>
      </c>
      <c r="F18" s="13" t="s">
        <v>729</v>
      </c>
      <c r="G18" s="13" t="s">
        <v>729</v>
      </c>
      <c r="H18" s="13" t="s">
        <v>730</v>
      </c>
      <c r="I18" s="15" t="s">
        <v>165</v>
      </c>
      <c r="J18" s="12" t="s">
        <v>58</v>
      </c>
      <c r="K18" s="12" t="s">
        <v>58</v>
      </c>
      <c r="L18" s="12" t="s">
        <v>58</v>
      </c>
      <c r="M18" s="4">
        <f>COUNTIF(J18:L18,"P")</f>
      </c>
    </row>
    <row r="19" ht="24" customHeight="1" spans="1:13" x14ac:dyDescent="0.25">
      <c r="A19" s="12">
        <v>16</v>
      </c>
      <c r="B19" s="13" t="s">
        <v>58</v>
      </c>
      <c r="C19" s="14" t="s">
        <v>731</v>
      </c>
      <c r="D19" s="13" t="s">
        <v>732</v>
      </c>
      <c r="E19" s="15" t="s">
        <v>733</v>
      </c>
      <c r="F19" s="13" t="s">
        <v>734</v>
      </c>
      <c r="G19" s="13" t="s">
        <v>734</v>
      </c>
      <c r="H19" s="13" t="s">
        <v>701</v>
      </c>
      <c r="I19" s="15" t="s">
        <v>735</v>
      </c>
      <c r="J19" s="12" t="s">
        <v>58</v>
      </c>
      <c r="K19" s="12" t="s">
        <v>58</v>
      </c>
      <c r="L19" s="12" t="s">
        <v>58</v>
      </c>
      <c r="M19" s="4">
        <f>COUNTIF(J19:L19,"P")</f>
      </c>
    </row>
    <row r="20" ht="26" customHeight="1" spans="1:13" x14ac:dyDescent="0.25">
      <c r="A20" s="16"/>
      <c r="B20" s="16"/>
      <c r="C20" s="17" t="s">
        <v>51</v>
      </c>
      <c r="D20" s="16"/>
      <c r="E20" s="16"/>
      <c r="F20" s="16"/>
      <c r="G20" s="16"/>
      <c r="H20" s="16"/>
      <c r="I20" s="16"/>
      <c r="J20" s="18">
        <f>COUNTIF(J4:J19,"P")</f>
      </c>
      <c r="K20" s="18">
        <f>COUNTIF(K4:K19,"P")</f>
      </c>
      <c r="L20" s="18">
        <f>COUNTIF(L4:L19,"P")</f>
      </c>
      <c r="M20" s="18">
        <f>SUM(M4:M19)</f>
      </c>
    </row>
  </sheetData>
  <mergeCells count="2">
    <mergeCell ref="A1:M1"/>
    <mergeCell ref="A2:M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2"/>
  <sheetViews>
    <sheetView workbookViewId="0">
      <pane xSplit="3" ySplit="3" topLeftCell="D4" activePane="bottomRight" state="frozen"/>
      <selection pane="bottomRight"/>
    </sheetView>
  </sheetViews>
  <sheetFormatPr defaultRowHeight="20" outlineLevelRow="0" outlineLevelCol="0" x14ac:dyDescent="55" customHeight="1"/>
  <cols>
    <col min="1" max="1" width="9.29" customWidth="1"/>
    <col min="2" max="2" width="10.14" customWidth="1"/>
    <col min="3" max="3" width="42.29" customWidth="1"/>
    <col min="4" max="4" width="14.86" customWidth="1"/>
    <col min="5" max="5" width="35.14" customWidth="1"/>
    <col min="6" max="6" width="15.86" customWidth="1"/>
    <col min="7" max="7" width="14.57" customWidth="1"/>
    <col min="8" max="8" width="17.57" customWidth="1"/>
    <col min="9" max="9" width="15.71" customWidth="1"/>
    <col min="10" max="12" width="11.57" customWidth="1"/>
    <col min="13" max="13" width="15" customWidth="1"/>
  </cols>
  <sheetData>
    <row r="1" ht="36" customHeight="1" spans="1:13" x14ac:dyDescent="0.25">
      <c r="A1" s="7" t="s">
        <v>40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ht="30" customHeight="1" spans="1:13" x14ac:dyDescent="0.25">
      <c r="A2" s="8" t="s">
        <v>736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ht="28" customHeight="1" spans="1:13" x14ac:dyDescent="0.25">
      <c r="A3" s="9" t="s">
        <v>42</v>
      </c>
      <c r="B3" s="9" t="s">
        <v>43</v>
      </c>
      <c r="C3" s="10" t="s">
        <v>44</v>
      </c>
      <c r="D3" s="9" t="s">
        <v>45</v>
      </c>
      <c r="E3" s="9" t="s">
        <v>46</v>
      </c>
      <c r="F3" s="9" t="s">
        <v>47</v>
      </c>
      <c r="G3" s="9" t="s">
        <v>48</v>
      </c>
      <c r="H3" s="9" t="s">
        <v>49</v>
      </c>
      <c r="I3" s="9" t="s">
        <v>50</v>
      </c>
      <c r="J3" s="11" t="s">
        <v>5</v>
      </c>
      <c r="K3" s="11" t="s">
        <v>6</v>
      </c>
      <c r="L3" s="11" t="s">
        <v>7</v>
      </c>
      <c r="M3" s="9" t="s">
        <v>51</v>
      </c>
    </row>
    <row r="4" ht="24" customHeight="1" spans="1:13" x14ac:dyDescent="0.25">
      <c r="A4" s="12">
        <v>1</v>
      </c>
      <c r="B4" s="13" t="s">
        <v>737</v>
      </c>
      <c r="C4" s="14" t="s">
        <v>21</v>
      </c>
      <c r="D4" s="13" t="s">
        <v>738</v>
      </c>
      <c r="E4" s="15" t="s">
        <v>739</v>
      </c>
      <c r="F4" s="13" t="s">
        <v>740</v>
      </c>
      <c r="G4" s="13" t="s">
        <v>740</v>
      </c>
      <c r="H4" s="13" t="s">
        <v>740</v>
      </c>
      <c r="I4" s="15" t="s">
        <v>57</v>
      </c>
      <c r="J4" s="12" t="s">
        <v>58</v>
      </c>
      <c r="K4" s="12" t="s">
        <v>58</v>
      </c>
      <c r="L4" s="12" t="s">
        <v>58</v>
      </c>
      <c r="M4" s="4">
        <f>COUNTIF(J4:L4,"P")</f>
      </c>
    </row>
    <row r="5" ht="24" customHeight="1" spans="1:13" x14ac:dyDescent="0.25">
      <c r="A5" s="12">
        <v>2</v>
      </c>
      <c r="B5" s="13" t="s">
        <v>741</v>
      </c>
      <c r="C5" s="14" t="s">
        <v>23</v>
      </c>
      <c r="D5" s="13" t="s">
        <v>742</v>
      </c>
      <c r="E5" s="15" t="s">
        <v>743</v>
      </c>
      <c r="F5" s="13" t="s">
        <v>744</v>
      </c>
      <c r="G5" s="13" t="s">
        <v>744</v>
      </c>
      <c r="H5" s="13" t="s">
        <v>745</v>
      </c>
      <c r="I5" s="15" t="s">
        <v>57</v>
      </c>
      <c r="J5" s="12" t="s">
        <v>58</v>
      </c>
      <c r="K5" s="12" t="s">
        <v>58</v>
      </c>
      <c r="L5" s="12" t="s">
        <v>58</v>
      </c>
      <c r="M5" s="4">
        <f>COUNTIF(J5:L5,"P")</f>
      </c>
    </row>
    <row r="6" ht="24" customHeight="1" spans="1:13" x14ac:dyDescent="0.25">
      <c r="A6" s="12">
        <v>3</v>
      </c>
      <c r="B6" s="13" t="s">
        <v>746</v>
      </c>
      <c r="C6" s="14" t="s">
        <v>25</v>
      </c>
      <c r="D6" s="13" t="s">
        <v>747</v>
      </c>
      <c r="E6" s="15" t="s">
        <v>748</v>
      </c>
      <c r="F6" s="13" t="s">
        <v>749</v>
      </c>
      <c r="G6" s="13" t="s">
        <v>749</v>
      </c>
      <c r="H6" s="13" t="s">
        <v>750</v>
      </c>
      <c r="I6" s="15" t="s">
        <v>57</v>
      </c>
      <c r="J6" s="12" t="s">
        <v>58</v>
      </c>
      <c r="K6" s="12" t="s">
        <v>58</v>
      </c>
      <c r="L6" s="12" t="s">
        <v>58</v>
      </c>
      <c r="M6" s="4">
        <f>COUNTIF(J6:L6,"P")</f>
      </c>
    </row>
    <row r="7" ht="24" customHeight="1" spans="1:13" x14ac:dyDescent="0.25">
      <c r="A7" s="12">
        <v>4</v>
      </c>
      <c r="B7" s="13" t="s">
        <v>252</v>
      </c>
      <c r="C7" s="14" t="s">
        <v>27</v>
      </c>
      <c r="D7" s="13" t="s">
        <v>751</v>
      </c>
      <c r="E7" s="15" t="s">
        <v>752</v>
      </c>
      <c r="F7" s="13" t="s">
        <v>753</v>
      </c>
      <c r="G7" s="13" t="s">
        <v>753</v>
      </c>
      <c r="H7" s="13" t="s">
        <v>753</v>
      </c>
      <c r="I7" s="15" t="s">
        <v>754</v>
      </c>
      <c r="J7" s="12" t="s">
        <v>58</v>
      </c>
      <c r="K7" s="12" t="s">
        <v>58</v>
      </c>
      <c r="L7" s="12" t="s">
        <v>58</v>
      </c>
      <c r="M7" s="4">
        <f>COUNTIF(J7:L7,"P")</f>
      </c>
    </row>
    <row r="8" ht="24" customHeight="1" spans="1:13" x14ac:dyDescent="0.25">
      <c r="A8" s="12">
        <v>5</v>
      </c>
      <c r="B8" s="13" t="s">
        <v>755</v>
      </c>
      <c r="C8" s="14" t="s">
        <v>29</v>
      </c>
      <c r="D8" s="13" t="s">
        <v>58</v>
      </c>
      <c r="E8" s="15" t="s">
        <v>58</v>
      </c>
      <c r="F8" s="13" t="s">
        <v>756</v>
      </c>
      <c r="G8" s="13" t="s">
        <v>58</v>
      </c>
      <c r="H8" s="13" t="s">
        <v>58</v>
      </c>
      <c r="I8" s="15" t="s">
        <v>58</v>
      </c>
      <c r="J8" s="12" t="s">
        <v>58</v>
      </c>
      <c r="K8" s="12" t="s">
        <v>58</v>
      </c>
      <c r="L8" s="12" t="s">
        <v>58</v>
      </c>
      <c r="M8" s="4">
        <f>COUNTIF(J8:L8,"P")</f>
      </c>
    </row>
    <row r="9" ht="24" customHeight="1" spans="1:13" x14ac:dyDescent="0.25">
      <c r="A9" s="12">
        <v>6</v>
      </c>
      <c r="B9" s="13" t="s">
        <v>757</v>
      </c>
      <c r="C9" s="14" t="s">
        <v>31</v>
      </c>
      <c r="D9" s="13" t="s">
        <v>758</v>
      </c>
      <c r="E9" s="15" t="s">
        <v>759</v>
      </c>
      <c r="F9" s="13" t="s">
        <v>760</v>
      </c>
      <c r="G9" s="13" t="s">
        <v>760</v>
      </c>
      <c r="H9" s="13" t="s">
        <v>761</v>
      </c>
      <c r="I9" s="15" t="s">
        <v>762</v>
      </c>
      <c r="J9" s="12" t="s">
        <v>58</v>
      </c>
      <c r="K9" s="12" t="s">
        <v>58</v>
      </c>
      <c r="L9" s="12" t="s">
        <v>58</v>
      </c>
      <c r="M9" s="4">
        <f>COUNTIF(J9:L9,"P")</f>
      </c>
    </row>
    <row r="10" ht="24" customHeight="1" spans="1:13" x14ac:dyDescent="0.25">
      <c r="A10" s="12">
        <v>7</v>
      </c>
      <c r="B10" s="13" t="s">
        <v>763</v>
      </c>
      <c r="C10" s="14" t="s">
        <v>33</v>
      </c>
      <c r="D10" s="13" t="s">
        <v>764</v>
      </c>
      <c r="E10" s="15" t="s">
        <v>765</v>
      </c>
      <c r="F10" s="13" t="s">
        <v>766</v>
      </c>
      <c r="G10" s="13" t="s">
        <v>766</v>
      </c>
      <c r="H10" s="13" t="s">
        <v>766</v>
      </c>
      <c r="I10" s="15" t="s">
        <v>767</v>
      </c>
      <c r="J10" s="12" t="s">
        <v>58</v>
      </c>
      <c r="K10" s="12" t="s">
        <v>58</v>
      </c>
      <c r="L10" s="12" t="s">
        <v>58</v>
      </c>
      <c r="M10" s="4">
        <f>COUNTIF(J10:L10,"P")</f>
      </c>
    </row>
    <row r="11" ht="24" customHeight="1" spans="1:13" x14ac:dyDescent="0.25">
      <c r="A11" s="12">
        <v>8</v>
      </c>
      <c r="B11" s="13" t="s">
        <v>768</v>
      </c>
      <c r="C11" s="14" t="s">
        <v>769</v>
      </c>
      <c r="D11" s="13" t="s">
        <v>770</v>
      </c>
      <c r="E11" s="15" t="s">
        <v>771</v>
      </c>
      <c r="F11" s="13" t="s">
        <v>772</v>
      </c>
      <c r="G11" s="13" t="s">
        <v>772</v>
      </c>
      <c r="H11" s="13" t="s">
        <v>93</v>
      </c>
      <c r="I11" s="15" t="s">
        <v>773</v>
      </c>
      <c r="J11" s="12" t="s">
        <v>58</v>
      </c>
      <c r="K11" s="12" t="s">
        <v>58</v>
      </c>
      <c r="L11" s="12" t="s">
        <v>58</v>
      </c>
      <c r="M11" s="4">
        <f>COUNTIF(J11:L11,"P")</f>
      </c>
    </row>
    <row r="12" ht="26" customHeight="1" spans="1:13" x14ac:dyDescent="0.25">
      <c r="A12" s="16"/>
      <c r="B12" s="16"/>
      <c r="C12" s="17" t="s">
        <v>51</v>
      </c>
      <c r="D12" s="16"/>
      <c r="E12" s="16"/>
      <c r="F12" s="16"/>
      <c r="G12" s="16"/>
      <c r="H12" s="16"/>
      <c r="I12" s="16"/>
      <c r="J12" s="18">
        <f>COUNTIF(J4:J11,"P")</f>
      </c>
      <c r="K12" s="18">
        <f>COUNTIF(K4:K11,"P")</f>
      </c>
      <c r="L12" s="18">
        <f>COUNTIF(L4:L11,"P")</f>
      </c>
      <c r="M12" s="18">
        <f>SUM(M4:M11)</f>
      </c>
    </row>
  </sheetData>
  <mergeCells count="2">
    <mergeCell ref="A1:M1"/>
    <mergeCell ref="A2:M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3"/>
  <sheetViews>
    <sheetView workbookViewId="0">
      <pane xSplit="3" ySplit="3" topLeftCell="D4" activePane="bottomRight" state="frozen"/>
      <selection pane="bottomRight"/>
    </sheetView>
  </sheetViews>
  <sheetFormatPr defaultRowHeight="20" outlineLevelRow="0" outlineLevelCol="0" x14ac:dyDescent="55" customHeight="1"/>
  <cols>
    <col min="1" max="1" width="9.29" customWidth="1"/>
    <col min="2" max="2" width="10.14" customWidth="1"/>
    <col min="3" max="3" width="42.29" customWidth="1"/>
    <col min="4" max="4" width="14.86" customWidth="1"/>
    <col min="5" max="5" width="35.14" customWidth="1"/>
    <col min="6" max="6" width="15.86" customWidth="1"/>
    <col min="7" max="7" width="14.57" customWidth="1"/>
    <col min="8" max="8" width="17.57" customWidth="1"/>
    <col min="9" max="9" width="15.71" customWidth="1"/>
    <col min="10" max="12" width="11.57" customWidth="1"/>
    <col min="13" max="13" width="15" customWidth="1"/>
  </cols>
  <sheetData>
    <row r="1" ht="36" customHeight="1" spans="1:13" x14ac:dyDescent="0.25">
      <c r="A1" s="7" t="s">
        <v>40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ht="30" customHeight="1" spans="1:13" x14ac:dyDescent="0.25">
      <c r="A2" s="8" t="s">
        <v>774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ht="28" customHeight="1" spans="1:13" x14ac:dyDescent="0.25">
      <c r="A3" s="9" t="s">
        <v>42</v>
      </c>
      <c r="B3" s="9" t="s">
        <v>43</v>
      </c>
      <c r="C3" s="10" t="s">
        <v>44</v>
      </c>
      <c r="D3" s="9" t="s">
        <v>45</v>
      </c>
      <c r="E3" s="9" t="s">
        <v>46</v>
      </c>
      <c r="F3" s="9" t="s">
        <v>47</v>
      </c>
      <c r="G3" s="9" t="s">
        <v>48</v>
      </c>
      <c r="H3" s="9" t="s">
        <v>49</v>
      </c>
      <c r="I3" s="9" t="s">
        <v>50</v>
      </c>
      <c r="J3" s="11" t="s">
        <v>5</v>
      </c>
      <c r="K3" s="11" t="s">
        <v>6</v>
      </c>
      <c r="L3" s="11" t="s">
        <v>7</v>
      </c>
      <c r="M3" s="9" t="s">
        <v>51</v>
      </c>
    </row>
    <row r="4" ht="24" customHeight="1" spans="1:13" x14ac:dyDescent="0.25">
      <c r="A4" s="12">
        <v>1</v>
      </c>
      <c r="B4" s="13" t="s">
        <v>58</v>
      </c>
      <c r="C4" s="14" t="s">
        <v>37</v>
      </c>
      <c r="D4" s="13" t="s">
        <v>775</v>
      </c>
      <c r="E4" s="15" t="s">
        <v>776</v>
      </c>
      <c r="F4" s="13" t="s">
        <v>777</v>
      </c>
      <c r="G4" s="13" t="s">
        <v>777</v>
      </c>
      <c r="H4" s="13" t="s">
        <v>778</v>
      </c>
      <c r="I4" s="15" t="s">
        <v>779</v>
      </c>
      <c r="J4" s="12" t="s">
        <v>58</v>
      </c>
      <c r="K4" s="12" t="s">
        <v>58</v>
      </c>
      <c r="L4" s="12" t="s">
        <v>58</v>
      </c>
      <c r="M4" s="4">
        <f>COUNTIF(J4:L4,"P")</f>
      </c>
    </row>
    <row r="5" ht="24" customHeight="1" spans="1:13" x14ac:dyDescent="0.25">
      <c r="A5" s="12">
        <v>2</v>
      </c>
      <c r="B5" s="13" t="s">
        <v>58</v>
      </c>
      <c r="C5" s="14" t="s">
        <v>780</v>
      </c>
      <c r="D5" s="13" t="s">
        <v>58</v>
      </c>
      <c r="E5" s="15" t="s">
        <v>58</v>
      </c>
      <c r="F5" s="13" t="s">
        <v>781</v>
      </c>
      <c r="G5" s="13" t="s">
        <v>781</v>
      </c>
      <c r="H5" s="13" t="s">
        <v>58</v>
      </c>
      <c r="I5" s="15" t="s">
        <v>58</v>
      </c>
      <c r="J5" s="12" t="s">
        <v>58</v>
      </c>
      <c r="K5" s="12" t="s">
        <v>58</v>
      </c>
      <c r="L5" s="12" t="s">
        <v>58</v>
      </c>
      <c r="M5" s="4">
        <f>COUNTIF(J5:L5,"P")</f>
      </c>
    </row>
    <row r="6" ht="24" customHeight="1" spans="1:13" x14ac:dyDescent="0.25">
      <c r="A6" s="12">
        <v>3</v>
      </c>
      <c r="B6" s="13" t="s">
        <v>58</v>
      </c>
      <c r="C6" s="14" t="s">
        <v>782</v>
      </c>
      <c r="D6" s="13" t="s">
        <v>58</v>
      </c>
      <c r="E6" s="15" t="s">
        <v>58</v>
      </c>
      <c r="F6" s="13" t="s">
        <v>58</v>
      </c>
      <c r="G6" s="13" t="s">
        <v>58</v>
      </c>
      <c r="H6" s="13" t="s">
        <v>58</v>
      </c>
      <c r="I6" s="15" t="s">
        <v>58</v>
      </c>
      <c r="J6" s="12" t="s">
        <v>58</v>
      </c>
      <c r="K6" s="12" t="s">
        <v>58</v>
      </c>
      <c r="L6" s="12" t="s">
        <v>58</v>
      </c>
      <c r="M6" s="4">
        <f>COUNTIF(J6:L6,"P")</f>
      </c>
    </row>
    <row r="7" ht="24" customHeight="1" spans="1:13" x14ac:dyDescent="0.25">
      <c r="A7" s="12">
        <v>4</v>
      </c>
      <c r="B7" s="13" t="s">
        <v>58</v>
      </c>
      <c r="C7" s="14" t="s">
        <v>783</v>
      </c>
      <c r="D7" s="13" t="s">
        <v>58</v>
      </c>
      <c r="E7" s="15" t="s">
        <v>58</v>
      </c>
      <c r="F7" s="13" t="s">
        <v>784</v>
      </c>
      <c r="G7" s="13" t="s">
        <v>58</v>
      </c>
      <c r="H7" s="13" t="s">
        <v>58</v>
      </c>
      <c r="I7" s="15" t="s">
        <v>58</v>
      </c>
      <c r="J7" s="12" t="s">
        <v>58</v>
      </c>
      <c r="K7" s="12" t="s">
        <v>58</v>
      </c>
      <c r="L7" s="12" t="s">
        <v>58</v>
      </c>
      <c r="M7" s="4">
        <f>COUNTIF(J7:L7,"P")</f>
      </c>
    </row>
    <row r="8" ht="24" customHeight="1" spans="1:13" x14ac:dyDescent="0.25">
      <c r="A8" s="12">
        <v>5</v>
      </c>
      <c r="B8" s="13" t="s">
        <v>58</v>
      </c>
      <c r="C8" s="14" t="s">
        <v>785</v>
      </c>
      <c r="D8" s="13" t="s">
        <v>58</v>
      </c>
      <c r="E8" s="15" t="s">
        <v>58</v>
      </c>
      <c r="F8" s="13" t="s">
        <v>786</v>
      </c>
      <c r="G8" s="13" t="s">
        <v>58</v>
      </c>
      <c r="H8" s="13" t="s">
        <v>58</v>
      </c>
      <c r="I8" s="15" t="s">
        <v>58</v>
      </c>
      <c r="J8" s="12" t="s">
        <v>58</v>
      </c>
      <c r="K8" s="12" t="s">
        <v>58</v>
      </c>
      <c r="L8" s="12" t="s">
        <v>58</v>
      </c>
      <c r="M8" s="4">
        <f>COUNTIF(J8:L8,"P")</f>
      </c>
    </row>
    <row r="9" ht="24" customHeight="1" spans="1:13" x14ac:dyDescent="0.25">
      <c r="A9" s="12">
        <v>6</v>
      </c>
      <c r="B9" s="13" t="s">
        <v>58</v>
      </c>
      <c r="C9" s="14" t="s">
        <v>787</v>
      </c>
      <c r="D9" s="13" t="s">
        <v>58</v>
      </c>
      <c r="E9" s="15" t="s">
        <v>58</v>
      </c>
      <c r="F9" s="13" t="s">
        <v>58</v>
      </c>
      <c r="G9" s="13" t="s">
        <v>58</v>
      </c>
      <c r="H9" s="13" t="s">
        <v>58</v>
      </c>
      <c r="I9" s="15" t="s">
        <v>58</v>
      </c>
      <c r="J9" s="12" t="s">
        <v>58</v>
      </c>
      <c r="K9" s="12" t="s">
        <v>58</v>
      </c>
      <c r="L9" s="12" t="s">
        <v>58</v>
      </c>
      <c r="M9" s="4">
        <f>COUNTIF(J9:L9,"P")</f>
      </c>
    </row>
    <row r="10" ht="24" customHeight="1" spans="1:13" x14ac:dyDescent="0.25">
      <c r="A10" s="12">
        <v>7</v>
      </c>
      <c r="B10" s="13" t="s">
        <v>58</v>
      </c>
      <c r="C10" s="14" t="s">
        <v>788</v>
      </c>
      <c r="D10" s="13" t="s">
        <v>58</v>
      </c>
      <c r="E10" s="15" t="s">
        <v>58</v>
      </c>
      <c r="F10" s="13" t="s">
        <v>789</v>
      </c>
      <c r="G10" s="13" t="s">
        <v>58</v>
      </c>
      <c r="H10" s="13" t="s">
        <v>58</v>
      </c>
      <c r="I10" s="15" t="s">
        <v>58</v>
      </c>
      <c r="J10" s="12" t="s">
        <v>58</v>
      </c>
      <c r="K10" s="12" t="s">
        <v>58</v>
      </c>
      <c r="L10" s="12" t="s">
        <v>58</v>
      </c>
      <c r="M10" s="4">
        <f>COUNTIF(J10:L10,"P")</f>
      </c>
    </row>
    <row r="11" ht="24" customHeight="1" spans="1:13" x14ac:dyDescent="0.25">
      <c r="A11" s="12">
        <v>8</v>
      </c>
      <c r="B11" s="13" t="s">
        <v>58</v>
      </c>
      <c r="C11" s="14" t="s">
        <v>790</v>
      </c>
      <c r="D11" s="13" t="s">
        <v>58</v>
      </c>
      <c r="E11" s="15" t="s">
        <v>58</v>
      </c>
      <c r="F11" s="13" t="s">
        <v>58</v>
      </c>
      <c r="G11" s="13" t="s">
        <v>58</v>
      </c>
      <c r="H11" s="13" t="s">
        <v>791</v>
      </c>
      <c r="I11" s="15" t="s">
        <v>58</v>
      </c>
      <c r="J11" s="12" t="s">
        <v>58</v>
      </c>
      <c r="K11" s="12" t="s">
        <v>58</v>
      </c>
      <c r="L11" s="12" t="s">
        <v>58</v>
      </c>
      <c r="M11" s="4">
        <f>COUNTIF(J11:L11,"P")</f>
      </c>
    </row>
    <row r="12" ht="24" customHeight="1" spans="1:13" x14ac:dyDescent="0.25">
      <c r="A12" s="12">
        <v>9</v>
      </c>
      <c r="B12" s="13" t="s">
        <v>58</v>
      </c>
      <c r="C12" s="14" t="s">
        <v>787</v>
      </c>
      <c r="D12" s="13" t="s">
        <v>58</v>
      </c>
      <c r="E12" s="15" t="s">
        <v>58</v>
      </c>
      <c r="F12" s="13" t="s">
        <v>792</v>
      </c>
      <c r="G12" s="13" t="s">
        <v>58</v>
      </c>
      <c r="H12" s="13" t="s">
        <v>58</v>
      </c>
      <c r="I12" s="15" t="s">
        <v>58</v>
      </c>
      <c r="J12" s="12" t="s">
        <v>58</v>
      </c>
      <c r="K12" s="12" t="s">
        <v>58</v>
      </c>
      <c r="L12" s="12" t="s">
        <v>58</v>
      </c>
      <c r="M12" s="4">
        <f>COUNTIF(J12:L12,"P")</f>
      </c>
    </row>
    <row r="13" ht="26" customHeight="1" spans="1:13" x14ac:dyDescent="0.25">
      <c r="A13" s="16"/>
      <c r="B13" s="16"/>
      <c r="C13" s="17" t="s">
        <v>51</v>
      </c>
      <c r="D13" s="16"/>
      <c r="E13" s="16"/>
      <c r="F13" s="16"/>
      <c r="G13" s="16"/>
      <c r="H13" s="16"/>
      <c r="I13" s="16"/>
      <c r="J13" s="18">
        <f>COUNTIF(J4:J12,"P")</f>
      </c>
      <c r="K13" s="18">
        <f>COUNTIF(K4:K12,"P")</f>
      </c>
      <c r="L13" s="18">
        <f>COUNTIF(L4:L12,"P")</f>
      </c>
      <c r="M13" s="18">
        <f>SUM(M4:M12)</f>
      </c>
    </row>
  </sheetData>
  <mergeCells count="2">
    <mergeCell ref="A1:M1"/>
    <mergeCell ref="A2:M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9"/>
  <sheetViews>
    <sheetView workbookViewId="0">
      <pane xSplit="2" ySplit="2" topLeftCell="C3" activePane="bottomRight" state="frozen"/>
      <selection pane="bottomRight"/>
    </sheetView>
  </sheetViews>
  <sheetFormatPr defaultRowHeight="20" outlineLevelRow="0" outlineLevelCol="0" x14ac:dyDescent="55" customHeight="1"/>
  <cols>
    <col min="1" max="1" width="9.57" customWidth="1"/>
    <col min="2" max="2" width="46" customWidth="1"/>
    <col min="3" max="3" width="18.29" customWidth="1"/>
    <col min="4" max="4" width="25.43" customWidth="1"/>
    <col min="5" max="5" width="20.14" customWidth="1"/>
    <col min="6" max="6" width="16.57" customWidth="1"/>
    <col min="7" max="7" width="17.14" customWidth="1"/>
    <col min="8" max="8" width="16.86" customWidth="1"/>
    <col min="9" max="9" width="54.29" customWidth="1"/>
    <col min="10" max="12" width="11.57" customWidth="1"/>
    <col min="13" max="13" width="15" customWidth="1"/>
  </cols>
  <sheetData>
    <row r="1" ht="36" customHeight="1" spans="1:13" x14ac:dyDescent="0.25">
      <c r="A1" s="19" t="s">
        <v>793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ht="28" customHeight="1" spans="1:13" x14ac:dyDescent="0.25">
      <c r="A2" s="9" t="s">
        <v>42</v>
      </c>
      <c r="B2" s="10" t="s">
        <v>44</v>
      </c>
      <c r="C2" s="9" t="s">
        <v>45</v>
      </c>
      <c r="D2" s="9" t="s">
        <v>46</v>
      </c>
      <c r="E2" s="9" t="s">
        <v>47</v>
      </c>
      <c r="F2" s="9" t="s">
        <v>48</v>
      </c>
      <c r="G2" s="9" t="s">
        <v>49</v>
      </c>
      <c r="H2" s="9" t="s">
        <v>50</v>
      </c>
      <c r="I2" s="9" t="s">
        <v>794</v>
      </c>
      <c r="J2" s="11" t="s">
        <v>5</v>
      </c>
      <c r="K2" s="11" t="s">
        <v>6</v>
      </c>
      <c r="L2" s="11" t="s">
        <v>7</v>
      </c>
      <c r="M2" s="9" t="s">
        <v>51</v>
      </c>
    </row>
    <row r="3" ht="24" customHeight="1" spans="1:13" x14ac:dyDescent="0.25">
      <c r="A3" s="12">
        <v>1</v>
      </c>
      <c r="B3" s="14" t="s">
        <v>795</v>
      </c>
      <c r="C3" s="13" t="s">
        <v>796</v>
      </c>
      <c r="D3" s="15" t="s">
        <v>797</v>
      </c>
      <c r="E3" s="13" t="s">
        <v>798</v>
      </c>
      <c r="F3" s="13" t="s">
        <v>798</v>
      </c>
      <c r="G3" s="13" t="s">
        <v>799</v>
      </c>
      <c r="H3" s="15" t="s">
        <v>800</v>
      </c>
      <c r="I3" s="15" t="s">
        <v>58</v>
      </c>
      <c r="J3" s="12" t="s">
        <v>58</v>
      </c>
      <c r="K3" s="12" t="s">
        <v>58</v>
      </c>
      <c r="L3" s="12" t="s">
        <v>58</v>
      </c>
      <c r="M3" s="4">
        <f>COUNTIF(J3:L3,"P")</f>
      </c>
    </row>
    <row r="4" ht="24" customHeight="1" spans="1:13" x14ac:dyDescent="0.25">
      <c r="A4" s="12">
        <v>2</v>
      </c>
      <c r="B4" s="14" t="s">
        <v>801</v>
      </c>
      <c r="C4" s="13" t="s">
        <v>58</v>
      </c>
      <c r="D4" s="15" t="s">
        <v>58</v>
      </c>
      <c r="E4" s="13" t="s">
        <v>58</v>
      </c>
      <c r="F4" s="13" t="s">
        <v>58</v>
      </c>
      <c r="G4" s="13" t="s">
        <v>58</v>
      </c>
      <c r="H4" s="15" t="s">
        <v>58</v>
      </c>
      <c r="I4" s="15" t="s">
        <v>58</v>
      </c>
      <c r="J4" s="12" t="s">
        <v>58</v>
      </c>
      <c r="K4" s="12" t="s">
        <v>58</v>
      </c>
      <c r="L4" s="12" t="s">
        <v>58</v>
      </c>
      <c r="M4" s="4">
        <f>COUNTIF(J4:L4,"P")</f>
      </c>
    </row>
    <row r="5" ht="24" customHeight="1" spans="1:13" x14ac:dyDescent="0.25">
      <c r="A5" s="12">
        <v>3</v>
      </c>
      <c r="B5" s="14" t="s">
        <v>802</v>
      </c>
      <c r="C5" s="13" t="s">
        <v>58</v>
      </c>
      <c r="D5" s="15" t="s">
        <v>58</v>
      </c>
      <c r="E5" s="13" t="s">
        <v>58</v>
      </c>
      <c r="F5" s="13" t="s">
        <v>58</v>
      </c>
      <c r="G5" s="13" t="s">
        <v>58</v>
      </c>
      <c r="H5" s="15" t="s">
        <v>58</v>
      </c>
      <c r="I5" s="15" t="s">
        <v>58</v>
      </c>
      <c r="J5" s="12" t="s">
        <v>58</v>
      </c>
      <c r="K5" s="12" t="s">
        <v>58</v>
      </c>
      <c r="L5" s="12" t="s">
        <v>58</v>
      </c>
      <c r="M5" s="4">
        <f>COUNTIF(J5:L5,"P")</f>
      </c>
    </row>
    <row r="6" ht="24" customHeight="1" spans="1:13" x14ac:dyDescent="0.25">
      <c r="A6" s="12">
        <v>4</v>
      </c>
      <c r="B6" s="14" t="s">
        <v>803</v>
      </c>
      <c r="C6" s="13" t="s">
        <v>58</v>
      </c>
      <c r="D6" s="15" t="s">
        <v>58</v>
      </c>
      <c r="E6" s="13" t="s">
        <v>58</v>
      </c>
      <c r="F6" s="13" t="s">
        <v>58</v>
      </c>
      <c r="G6" s="13" t="s">
        <v>58</v>
      </c>
      <c r="H6" s="15" t="s">
        <v>58</v>
      </c>
      <c r="I6" s="15" t="s">
        <v>58</v>
      </c>
      <c r="J6" s="12" t="s">
        <v>58</v>
      </c>
      <c r="K6" s="12" t="s">
        <v>58</v>
      </c>
      <c r="L6" s="12" t="s">
        <v>58</v>
      </c>
      <c r="M6" s="4">
        <f>COUNTIF(J6:L6,"P")</f>
      </c>
    </row>
    <row r="7" ht="24" customHeight="1" spans="1:13" x14ac:dyDescent="0.25">
      <c r="A7" s="12">
        <v>5</v>
      </c>
      <c r="B7" s="14" t="s">
        <v>804</v>
      </c>
      <c r="C7" s="13" t="s">
        <v>58</v>
      </c>
      <c r="D7" s="15" t="s">
        <v>58</v>
      </c>
      <c r="E7" s="13" t="s">
        <v>58</v>
      </c>
      <c r="F7" s="13" t="s">
        <v>58</v>
      </c>
      <c r="G7" s="13" t="s">
        <v>58</v>
      </c>
      <c r="H7" s="15" t="s">
        <v>58</v>
      </c>
      <c r="I7" s="15" t="s">
        <v>58</v>
      </c>
      <c r="J7" s="12" t="s">
        <v>58</v>
      </c>
      <c r="K7" s="12" t="s">
        <v>58</v>
      </c>
      <c r="L7" s="12" t="s">
        <v>58</v>
      </c>
      <c r="M7" s="4">
        <f>COUNTIF(J7:L7,"P")</f>
      </c>
    </row>
    <row r="8" ht="24" customHeight="1" spans="1:13" x14ac:dyDescent="0.25">
      <c r="A8" s="12">
        <v>6</v>
      </c>
      <c r="B8" s="14" t="s">
        <v>805</v>
      </c>
      <c r="C8" s="13" t="s">
        <v>806</v>
      </c>
      <c r="D8" s="15" t="s">
        <v>58</v>
      </c>
      <c r="E8" s="13" t="s">
        <v>807</v>
      </c>
      <c r="F8" s="13" t="s">
        <v>58</v>
      </c>
      <c r="G8" s="13" t="s">
        <v>58</v>
      </c>
      <c r="H8" s="15" t="s">
        <v>58</v>
      </c>
      <c r="I8" s="15" t="s">
        <v>58</v>
      </c>
      <c r="J8" s="12" t="s">
        <v>58</v>
      </c>
      <c r="K8" s="12" t="s">
        <v>58</v>
      </c>
      <c r="L8" s="12" t="s">
        <v>58</v>
      </c>
      <c r="M8" s="4">
        <f>COUNTIF(J8:L8,"P")</f>
      </c>
    </row>
    <row r="9" ht="24" customHeight="1" spans="1:13" x14ac:dyDescent="0.25">
      <c r="A9" s="12">
        <v>7</v>
      </c>
      <c r="B9" s="14" t="s">
        <v>808</v>
      </c>
      <c r="C9" s="13" t="s">
        <v>58</v>
      </c>
      <c r="D9" s="15" t="s">
        <v>58</v>
      </c>
      <c r="E9" s="13" t="s">
        <v>58</v>
      </c>
      <c r="F9" s="13" t="s">
        <v>58</v>
      </c>
      <c r="G9" s="13" t="s">
        <v>58</v>
      </c>
      <c r="H9" s="15" t="s">
        <v>58</v>
      </c>
      <c r="I9" s="15" t="s">
        <v>58</v>
      </c>
      <c r="J9" s="12" t="s">
        <v>58</v>
      </c>
      <c r="K9" s="12" t="s">
        <v>58</v>
      </c>
      <c r="L9" s="12" t="s">
        <v>58</v>
      </c>
      <c r="M9" s="4">
        <f>COUNTIF(J9:L9,"P")</f>
      </c>
    </row>
    <row r="10" ht="24" customHeight="1" spans="1:13" x14ac:dyDescent="0.25">
      <c r="A10" s="12">
        <v>8</v>
      </c>
      <c r="B10" s="14" t="s">
        <v>809</v>
      </c>
      <c r="C10" s="13" t="s">
        <v>58</v>
      </c>
      <c r="D10" s="15" t="s">
        <v>58</v>
      </c>
      <c r="E10" s="13" t="s">
        <v>58</v>
      </c>
      <c r="F10" s="13" t="s">
        <v>58</v>
      </c>
      <c r="G10" s="13" t="s">
        <v>58</v>
      </c>
      <c r="H10" s="15" t="s">
        <v>58</v>
      </c>
      <c r="I10" s="15" t="s">
        <v>58</v>
      </c>
      <c r="J10" s="12" t="s">
        <v>58</v>
      </c>
      <c r="K10" s="12" t="s">
        <v>58</v>
      </c>
      <c r="L10" s="12" t="s">
        <v>58</v>
      </c>
      <c r="M10" s="4">
        <f>COUNTIF(J10:L10,"P")</f>
      </c>
    </row>
    <row r="11" ht="24" customHeight="1" spans="1:13" x14ac:dyDescent="0.25">
      <c r="A11" s="12">
        <v>9</v>
      </c>
      <c r="B11" s="14" t="s">
        <v>810</v>
      </c>
      <c r="C11" s="13" t="s">
        <v>58</v>
      </c>
      <c r="D11" s="15" t="s">
        <v>58</v>
      </c>
      <c r="E11" s="13" t="s">
        <v>58</v>
      </c>
      <c r="F11" s="13" t="s">
        <v>58</v>
      </c>
      <c r="G11" s="13" t="s">
        <v>58</v>
      </c>
      <c r="H11" s="15" t="s">
        <v>58</v>
      </c>
      <c r="I11" s="15" t="s">
        <v>58</v>
      </c>
      <c r="J11" s="12" t="s">
        <v>58</v>
      </c>
      <c r="K11" s="12" t="s">
        <v>58</v>
      </c>
      <c r="L11" s="12" t="s">
        <v>58</v>
      </c>
      <c r="M11" s="4">
        <f>COUNTIF(J11:L11,"P")</f>
      </c>
    </row>
    <row r="12" ht="24" customHeight="1" spans="1:13" x14ac:dyDescent="0.25">
      <c r="A12" s="12">
        <v>10</v>
      </c>
      <c r="B12" s="14" t="s">
        <v>811</v>
      </c>
      <c r="C12" s="13" t="s">
        <v>58</v>
      </c>
      <c r="D12" s="15" t="s">
        <v>58</v>
      </c>
      <c r="E12" s="13" t="s">
        <v>58</v>
      </c>
      <c r="F12" s="13" t="s">
        <v>58</v>
      </c>
      <c r="G12" s="13" t="s">
        <v>58</v>
      </c>
      <c r="H12" s="15" t="s">
        <v>58</v>
      </c>
      <c r="I12" s="15" t="s">
        <v>58</v>
      </c>
      <c r="J12" s="12" t="s">
        <v>58</v>
      </c>
      <c r="K12" s="12" t="s">
        <v>58</v>
      </c>
      <c r="L12" s="12" t="s">
        <v>58</v>
      </c>
      <c r="M12" s="4">
        <f>COUNTIF(J12:L12,"P")</f>
      </c>
    </row>
    <row r="13" ht="24" customHeight="1" spans="1:13" x14ac:dyDescent="0.25">
      <c r="A13" s="12">
        <v>11</v>
      </c>
      <c r="B13" s="14" t="s">
        <v>812</v>
      </c>
      <c r="C13" s="13" t="s">
        <v>58</v>
      </c>
      <c r="D13" s="15" t="s">
        <v>58</v>
      </c>
      <c r="E13" s="13" t="s">
        <v>58</v>
      </c>
      <c r="F13" s="13" t="s">
        <v>58</v>
      </c>
      <c r="G13" s="13" t="s">
        <v>58</v>
      </c>
      <c r="H13" s="15" t="s">
        <v>58</v>
      </c>
      <c r="I13" s="15" t="s">
        <v>58</v>
      </c>
      <c r="J13" s="12" t="s">
        <v>58</v>
      </c>
      <c r="K13" s="12" t="s">
        <v>58</v>
      </c>
      <c r="L13" s="12" t="s">
        <v>58</v>
      </c>
      <c r="M13" s="4">
        <f>COUNTIF(J13:L13,"P")</f>
      </c>
    </row>
    <row r="14" ht="24" customHeight="1" spans="1:13" x14ac:dyDescent="0.25">
      <c r="A14" s="12">
        <v>12</v>
      </c>
      <c r="B14" s="14" t="s">
        <v>813</v>
      </c>
      <c r="C14" s="13" t="s">
        <v>58</v>
      </c>
      <c r="D14" s="15" t="s">
        <v>58</v>
      </c>
      <c r="E14" s="13" t="s">
        <v>58</v>
      </c>
      <c r="F14" s="13" t="s">
        <v>58</v>
      </c>
      <c r="G14" s="13" t="s">
        <v>58</v>
      </c>
      <c r="H14" s="15" t="s">
        <v>58</v>
      </c>
      <c r="I14" s="15" t="s">
        <v>58</v>
      </c>
      <c r="J14" s="12" t="s">
        <v>58</v>
      </c>
      <c r="K14" s="12" t="s">
        <v>58</v>
      </c>
      <c r="L14" s="12" t="s">
        <v>58</v>
      </c>
      <c r="M14" s="4">
        <f>COUNTIF(J14:L14,"P")</f>
      </c>
    </row>
    <row r="15" ht="24" customHeight="1" spans="1:13" x14ac:dyDescent="0.25">
      <c r="A15" s="12">
        <v>13</v>
      </c>
      <c r="B15" s="14" t="s">
        <v>814</v>
      </c>
      <c r="C15" s="13" t="s">
        <v>58</v>
      </c>
      <c r="D15" s="15" t="s">
        <v>58</v>
      </c>
      <c r="E15" s="13" t="s">
        <v>58</v>
      </c>
      <c r="F15" s="13" t="s">
        <v>58</v>
      </c>
      <c r="G15" s="13" t="s">
        <v>58</v>
      </c>
      <c r="H15" s="15" t="s">
        <v>58</v>
      </c>
      <c r="I15" s="15" t="s">
        <v>58</v>
      </c>
      <c r="J15" s="12" t="s">
        <v>58</v>
      </c>
      <c r="K15" s="12" t="s">
        <v>58</v>
      </c>
      <c r="L15" s="12" t="s">
        <v>58</v>
      </c>
      <c r="M15" s="4">
        <f>COUNTIF(J15:L15,"P")</f>
      </c>
    </row>
    <row r="16" ht="24" customHeight="1" spans="1:13" x14ac:dyDescent="0.25">
      <c r="A16" s="12">
        <v>14</v>
      </c>
      <c r="B16" s="14" t="s">
        <v>815</v>
      </c>
      <c r="C16" s="13" t="s">
        <v>816</v>
      </c>
      <c r="D16" s="15" t="s">
        <v>58</v>
      </c>
      <c r="E16" s="13" t="s">
        <v>756</v>
      </c>
      <c r="F16" s="13" t="s">
        <v>756</v>
      </c>
      <c r="G16" s="13" t="s">
        <v>817</v>
      </c>
      <c r="H16" s="15" t="s">
        <v>408</v>
      </c>
      <c r="I16" s="15" t="s">
        <v>58</v>
      </c>
      <c r="J16" s="12" t="s">
        <v>58</v>
      </c>
      <c r="K16" s="12" t="s">
        <v>58</v>
      </c>
      <c r="L16" s="12" t="s">
        <v>58</v>
      </c>
      <c r="M16" s="4">
        <f>COUNTIF(J16:L16,"P")</f>
      </c>
    </row>
    <row r="17" ht="24" customHeight="1" spans="1:13" x14ac:dyDescent="0.25">
      <c r="A17" s="12">
        <v>15</v>
      </c>
      <c r="B17" s="14" t="s">
        <v>192</v>
      </c>
      <c r="C17" s="13" t="s">
        <v>193</v>
      </c>
      <c r="D17" s="15" t="s">
        <v>194</v>
      </c>
      <c r="E17" s="13" t="s">
        <v>195</v>
      </c>
      <c r="F17" s="13" t="s">
        <v>195</v>
      </c>
      <c r="G17" s="13" t="s">
        <v>196</v>
      </c>
      <c r="H17" s="15" t="s">
        <v>197</v>
      </c>
      <c r="I17" s="15" t="s">
        <v>58</v>
      </c>
      <c r="J17" s="12" t="s">
        <v>58</v>
      </c>
      <c r="K17" s="12" t="s">
        <v>58</v>
      </c>
      <c r="L17" s="12" t="s">
        <v>58</v>
      </c>
      <c r="M17" s="4">
        <f>COUNTIF(J17:L17,"P")</f>
      </c>
    </row>
    <row r="18" ht="24" customHeight="1" spans="1:13" x14ac:dyDescent="0.25">
      <c r="A18" s="12">
        <v>16</v>
      </c>
      <c r="B18" s="14" t="s">
        <v>818</v>
      </c>
      <c r="C18" s="13" t="s">
        <v>58</v>
      </c>
      <c r="D18" s="15" t="s">
        <v>58</v>
      </c>
      <c r="E18" s="13" t="s">
        <v>58</v>
      </c>
      <c r="F18" s="13" t="s">
        <v>58</v>
      </c>
      <c r="G18" s="13" t="s">
        <v>58</v>
      </c>
      <c r="H18" s="15" t="s">
        <v>58</v>
      </c>
      <c r="I18" s="15" t="s">
        <v>58</v>
      </c>
      <c r="J18" s="12" t="s">
        <v>58</v>
      </c>
      <c r="K18" s="12" t="s">
        <v>58</v>
      </c>
      <c r="L18" s="12" t="s">
        <v>58</v>
      </c>
      <c r="M18" s="4">
        <f>COUNTIF(J18:L18,"P")</f>
      </c>
    </row>
    <row r="19" ht="26" customHeight="1" spans="1:13" x14ac:dyDescent="0.25">
      <c r="A19" s="16"/>
      <c r="B19" s="17" t="s">
        <v>51</v>
      </c>
      <c r="C19" s="16"/>
      <c r="D19" s="16"/>
      <c r="E19" s="16"/>
      <c r="F19" s="16"/>
      <c r="G19" s="16"/>
      <c r="H19" s="16"/>
      <c r="I19" s="16"/>
      <c r="J19" s="18">
        <f>COUNTIF(J3:J18,"P")</f>
      </c>
      <c r="K19" s="18">
        <f>COUNTIF(K3:K18,"P")</f>
      </c>
      <c r="L19" s="18">
        <f>COUNTIF(L3:L18,"P")</f>
      </c>
      <c r="M19" s="18">
        <f>SUM(M3:M18)</f>
      </c>
    </row>
  </sheetData>
  <mergeCells count="1">
    <mergeCell ref="A1:M1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H20"/>
  <sheetFormatPr defaultRowHeight="20" outlineLevelRow="0" outlineLevelCol="0" x14ac:dyDescent="55" customHeight="1"/>
  <cols>
    <col min="1" max="1" width="8.71" customWidth="1"/>
    <col min="4" max="4" width="36" customWidth="1"/>
    <col min="5" max="5" width="12" customWidth="1"/>
    <col min="6" max="8" width="11.57" customWidth="1"/>
  </cols>
  <sheetData>
    <row r="2" ht="32" customHeight="1" spans="2:8" x14ac:dyDescent="0.25">
      <c r="B2" s="1" t="s">
        <v>0</v>
      </c>
      <c r="C2" s="1"/>
      <c r="D2" s="1"/>
      <c r="E2" s="1"/>
      <c r="F2" s="1"/>
      <c r="G2" s="1"/>
      <c r="H2" s="1"/>
    </row>
    <row r="3" ht="26" customHeight="1" spans="2:8" x14ac:dyDescent="0.25">
      <c r="B3" s="2" t="s">
        <v>1</v>
      </c>
      <c r="C3" s="2" t="s">
        <v>2</v>
      </c>
      <c r="D3" s="3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ht="22" customHeight="1" spans="2:8" x14ac:dyDescent="0.25">
      <c r="B4" s="4">
        <v>1</v>
      </c>
      <c r="C4" s="4" t="s">
        <v>8</v>
      </c>
      <c r="D4" s="5" t="s">
        <v>9</v>
      </c>
      <c r="E4" s="4">
        <f>COUNT('1'!A4:A10)</f>
      </c>
      <c r="F4" s="4">
        <f>'1'!J11</f>
      </c>
      <c r="G4" s="4">
        <f>'1'!K11</f>
      </c>
      <c r="H4" s="4">
        <f>'1'!L11</f>
      </c>
    </row>
    <row r="5" ht="22" customHeight="1" spans="2:8" x14ac:dyDescent="0.25">
      <c r="B5" s="4">
        <v>2</v>
      </c>
      <c r="C5" s="4" t="s">
        <v>10</v>
      </c>
      <c r="D5" s="5" t="s">
        <v>11</v>
      </c>
      <c r="E5" s="4">
        <f>COUNT('2'!A4:A17)</f>
      </c>
      <c r="F5" s="4">
        <f>'2'!J18</f>
      </c>
      <c r="G5" s="4">
        <f>'2'!K18</f>
      </c>
      <c r="H5" s="4">
        <f>'2'!L18</f>
      </c>
    </row>
    <row r="6" ht="22" customHeight="1" spans="2:8" x14ac:dyDescent="0.25">
      <c r="B6" s="4">
        <v>3</v>
      </c>
      <c r="C6" s="4" t="s">
        <v>12</v>
      </c>
      <c r="D6" s="5" t="s">
        <v>13</v>
      </c>
      <c r="E6" s="4">
        <f>COUNT('3'!A4:A14)</f>
      </c>
      <c r="F6" s="4">
        <f>'3'!J15</f>
      </c>
      <c r="G6" s="4">
        <f>'3'!K15</f>
      </c>
      <c r="H6" s="4">
        <f>'3'!L15</f>
      </c>
    </row>
    <row r="7" ht="22" customHeight="1" spans="2:8" x14ac:dyDescent="0.25">
      <c r="B7" s="4">
        <v>4</v>
      </c>
      <c r="C7" s="4" t="s">
        <v>14</v>
      </c>
      <c r="D7" s="5" t="s">
        <v>15</v>
      </c>
      <c r="E7" s="4">
        <f>COUNT('4'!A4:A8)</f>
      </c>
      <c r="F7" s="4">
        <f>'4'!J9</f>
      </c>
      <c r="G7" s="4">
        <f>'4'!K9</f>
      </c>
      <c r="H7" s="4">
        <f>'4'!L9</f>
      </c>
    </row>
    <row r="8" ht="22" customHeight="1" spans="2:8" x14ac:dyDescent="0.25">
      <c r="B8" s="4">
        <v>5</v>
      </c>
      <c r="C8" s="4" t="s">
        <v>16</v>
      </c>
      <c r="D8" s="5" t="s">
        <v>17</v>
      </c>
      <c r="E8" s="4">
        <f>COUNT('5'!A4:A11)</f>
      </c>
      <c r="F8" s="4">
        <f>'5'!J12</f>
      </c>
      <c r="G8" s="4">
        <f>'5'!K12</f>
      </c>
      <c r="H8" s="4">
        <f>'5'!L12</f>
      </c>
    </row>
    <row r="9" ht="22" customHeight="1" spans="2:8" x14ac:dyDescent="0.25">
      <c r="B9" s="4">
        <v>6</v>
      </c>
      <c r="C9" s="4" t="s">
        <v>18</v>
      </c>
      <c r="D9" s="5" t="s">
        <v>19</v>
      </c>
      <c r="E9" s="4">
        <f>COUNT('6'!A4:A9)</f>
      </c>
      <c r="F9" s="4">
        <f>'6'!J10</f>
      </c>
      <c r="G9" s="4">
        <f>'6'!K10</f>
      </c>
      <c r="H9" s="4">
        <f>'6'!L10</f>
      </c>
    </row>
    <row r="10" ht="22" customHeight="1" spans="2:8" x14ac:dyDescent="0.25">
      <c r="B10" s="4">
        <v>7</v>
      </c>
      <c r="C10" s="4" t="s">
        <v>20</v>
      </c>
      <c r="D10" s="5" t="s">
        <v>21</v>
      </c>
      <c r="E10" s="4">
        <f>COUNT('7'!A4:A10)</f>
      </c>
      <c r="F10" s="4">
        <f>'7'!J11</f>
      </c>
      <c r="G10" s="4">
        <f>'7'!K11</f>
      </c>
      <c r="H10" s="4">
        <f>'7'!L11</f>
      </c>
    </row>
    <row r="11" ht="22" customHeight="1" spans="2:8" x14ac:dyDescent="0.25">
      <c r="B11" s="4">
        <v>8</v>
      </c>
      <c r="C11" s="4" t="s">
        <v>22</v>
      </c>
      <c r="D11" s="5" t="s">
        <v>23</v>
      </c>
      <c r="E11" s="4">
        <f>COUNT('8'!A4:A14)</f>
      </c>
      <c r="F11" s="4">
        <f>'8'!J15</f>
      </c>
      <c r="G11" s="4">
        <f>'8'!K15</f>
      </c>
      <c r="H11" s="4">
        <f>'8'!L15</f>
      </c>
    </row>
    <row r="12" ht="22" customHeight="1" spans="2:8" x14ac:dyDescent="0.25">
      <c r="B12" s="4">
        <v>9</v>
      </c>
      <c r="C12" s="4" t="s">
        <v>24</v>
      </c>
      <c r="D12" s="5" t="s">
        <v>25</v>
      </c>
      <c r="E12" s="4">
        <f>COUNT('9'!A4:A17)</f>
      </c>
      <c r="F12" s="4">
        <f>'9'!J18</f>
      </c>
      <c r="G12" s="4">
        <f>'9'!K18</f>
      </c>
      <c r="H12" s="4">
        <f>'9'!L18</f>
      </c>
    </row>
    <row r="13" ht="22" customHeight="1" spans="2:8" x14ac:dyDescent="0.25">
      <c r="B13" s="4">
        <v>10</v>
      </c>
      <c r="C13" s="4" t="s">
        <v>26</v>
      </c>
      <c r="D13" s="5" t="s">
        <v>27</v>
      </c>
      <c r="E13" s="4">
        <f>COUNT('10'!A4:A12)</f>
      </c>
      <c r="F13" s="4">
        <f>'10'!J13</f>
      </c>
      <c r="G13" s="4">
        <f>'10'!K13</f>
      </c>
      <c r="H13" s="4">
        <f>'10'!L13</f>
      </c>
    </row>
    <row r="14" ht="22" customHeight="1" spans="2:8" x14ac:dyDescent="0.25">
      <c r="B14" s="4">
        <v>11</v>
      </c>
      <c r="C14" s="4" t="s">
        <v>28</v>
      </c>
      <c r="D14" s="5" t="s">
        <v>29</v>
      </c>
      <c r="E14" s="4">
        <f>COUNT('11'!A4:A8)</f>
      </c>
      <c r="F14" s="4">
        <f>'11'!J9</f>
      </c>
      <c r="G14" s="4">
        <f>'11'!K9</f>
      </c>
      <c r="H14" s="4">
        <f>'11'!L9</f>
      </c>
    </row>
    <row r="15" ht="22" customHeight="1" spans="2:8" x14ac:dyDescent="0.25">
      <c r="B15" s="4">
        <v>12</v>
      </c>
      <c r="C15" s="4" t="s">
        <v>30</v>
      </c>
      <c r="D15" s="5" t="s">
        <v>31</v>
      </c>
      <c r="E15" s="4">
        <f>COUNT('12'!A4:A26)</f>
      </c>
      <c r="F15" s="4">
        <f>'12'!J27</f>
      </c>
      <c r="G15" s="4">
        <f>'12'!K27</f>
      </c>
      <c r="H15" s="4">
        <f>'12'!L27</f>
      </c>
    </row>
    <row r="16" ht="22" customHeight="1" spans="2:8" x14ac:dyDescent="0.25">
      <c r="B16" s="4">
        <v>13</v>
      </c>
      <c r="C16" s="4" t="s">
        <v>32</v>
      </c>
      <c r="D16" s="5" t="s">
        <v>33</v>
      </c>
      <c r="E16" s="4">
        <f>COUNT('13'!A4:A19)</f>
      </c>
      <c r="F16" s="4">
        <f>'13'!J20</f>
      </c>
      <c r="G16" s="4">
        <f>'13'!K20</f>
      </c>
      <c r="H16" s="4">
        <f>'13'!L20</f>
      </c>
    </row>
    <row r="17" ht="22" customHeight="1" spans="2:8" x14ac:dyDescent="0.25">
      <c r="B17" s="4">
        <v>14</v>
      </c>
      <c r="C17" s="4" t="s">
        <v>34</v>
      </c>
      <c r="D17" s="5" t="s">
        <v>35</v>
      </c>
      <c r="E17" s="4">
        <f>COUNT('14'!A4:A11)</f>
      </c>
      <c r="F17" s="4">
        <f>'14'!J12</f>
      </c>
      <c r="G17" s="4">
        <f>'14'!K12</f>
      </c>
      <c r="H17" s="4">
        <f>'14'!L12</f>
      </c>
    </row>
    <row r="18" ht="22" customHeight="1" spans="2:8" x14ac:dyDescent="0.25">
      <c r="B18" s="4">
        <v>15</v>
      </c>
      <c r="C18" s="4" t="s">
        <v>36</v>
      </c>
      <c r="D18" s="5" t="s">
        <v>37</v>
      </c>
      <c r="E18" s="4">
        <f>COUNT('15'!A4:A12)</f>
      </c>
      <c r="F18" s="4">
        <f>'15'!J13</f>
      </c>
      <c r="G18" s="4">
        <f>'15'!K13</f>
      </c>
      <c r="H18" s="4">
        <f>'15'!L13</f>
      </c>
    </row>
    <row r="19" ht="22" customHeight="1" spans="2:8" x14ac:dyDescent="0.25">
      <c r="B19" s="4">
        <v>16</v>
      </c>
      <c r="C19" s="4" t="s">
        <v>38</v>
      </c>
      <c r="D19" s="5" t="s">
        <v>39</v>
      </c>
      <c r="E19" s="4">
        <f>COUNT('New'!A3:A18)</f>
      </c>
      <c r="F19" s="4">
        <f>'New'!J19</f>
      </c>
      <c r="G19" s="4">
        <f>'New'!K19</f>
      </c>
      <c r="H19" s="4">
        <f>'New'!L19</f>
      </c>
    </row>
    <row r="20" ht="26" customHeight="1" spans="2:8" x14ac:dyDescent="0.25">
      <c r="B20" s="6" t="s">
        <v>4</v>
      </c>
      <c r="C20" s="6"/>
      <c r="D20" s="6"/>
      <c r="E20" s="6">
        <f>SUM(E4:E19)</f>
      </c>
      <c r="F20" s="6">
        <f>SUM(F4:F19)</f>
      </c>
      <c r="G20" s="6">
        <f>SUM(G4:G19)</f>
      </c>
      <c r="H20" s="6">
        <f>SUM(H4:H19)</f>
      </c>
    </row>
  </sheetData>
  <mergeCells count="2">
    <mergeCell ref="B2:H2"/>
    <mergeCell ref="B20:D20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Master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New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Gorwa Yuvak Mandal</dc:creator>
  <dc:title/>
  <dc:subject/>
  <dc:description/>
  <cp:keywords/>
  <cp:category/>
  <cp:lastModifiedBy>Unknown</cp:lastModifiedBy>
  <dcterms:created xsi:type="dcterms:W3CDTF">2026-10-21T18:30:23Z</dcterms:created>
  <dcterms:modified xsi:type="dcterms:W3CDTF">2026-10-21T18:30:23Z</dcterms:modified>
</cp:coreProperties>
</file>